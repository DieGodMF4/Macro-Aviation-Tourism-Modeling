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arr\Documents\4UNIVERSIDAD\TFG\"/>
    </mc:Choice>
  </mc:AlternateContent>
  <xr:revisionPtr revIDLastSave="0" documentId="8_{14CFE147-F4FB-4A65-AA75-48A6264C6D3A}" xr6:coauthVersionLast="47" xr6:coauthVersionMax="47" xr10:uidLastSave="{00000000-0000-0000-0000-000000000000}"/>
  <bookViews>
    <workbookView xWindow="-108" yWindow="-108" windowWidth="23256" windowHeight="12456" activeTab="2" xr2:uid="{9D4DBA34-B21D-441C-80BF-FAF7C72333ED}"/>
  </bookViews>
  <sheets>
    <sheet name=" GDP CEE Oct 2025" sheetId="1" r:id="rId1"/>
    <sheet name="GDP WE Oct 2025" sheetId="4" r:id="rId2"/>
    <sheet name="Population" sheetId="2" r:id="rId3"/>
  </sheets>
  <definedNames>
    <definedName name="___thinkcell2CFQAAAAAAAAAAAAAAACQQ4UKKXNUACGX5XBPPA5C5XI4" localSheetId="2" hidden="1">Population!$A$142:$X$162</definedName>
    <definedName name="___thinkcell2CFQAAAAAAAAAAAAAAAOAZO6IVFGXNCFUCWG7UFDITH7G" localSheetId="2" hidden="1">Population!$A$49:$X$71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84" i="2" l="1"/>
  <c r="X183" i="2"/>
  <c r="X182" i="2"/>
  <c r="X181" i="2"/>
  <c r="X180" i="2"/>
  <c r="X179" i="2"/>
  <c r="X178" i="2"/>
  <c r="X177" i="2"/>
  <c r="X176" i="2"/>
  <c r="X175" i="2"/>
  <c r="X174" i="2"/>
  <c r="X173" i="2"/>
  <c r="X172" i="2"/>
  <c r="X171" i="2"/>
  <c r="X170" i="2"/>
  <c r="X169" i="2"/>
  <c r="X168" i="2"/>
  <c r="X167" i="2"/>
  <c r="X166" i="2"/>
  <c r="X95" i="2"/>
  <c r="V93" i="1" l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X91" i="1" l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94" i="2"/>
  <c r="X93" i="2"/>
  <c r="X92" i="2"/>
  <c r="X91" i="2"/>
  <c r="X90" i="2"/>
  <c r="X89" i="2"/>
  <c r="X88" i="2"/>
  <c r="X87" i="2"/>
  <c r="X86" i="2"/>
  <c r="X85" i="2"/>
  <c r="X84" i="2"/>
  <c r="X83" i="2"/>
  <c r="X82" i="2"/>
  <c r="X81" i="2"/>
  <c r="X80" i="2"/>
  <c r="X79" i="2"/>
  <c r="X78" i="2"/>
  <c r="X77" i="2"/>
  <c r="X76" i="2"/>
  <c r="X75" i="2"/>
  <c r="W91" i="1"/>
  <c r="W90" i="1"/>
  <c r="W89" i="1"/>
  <c r="W88" i="1"/>
  <c r="W87" i="1"/>
  <c r="W86" i="1"/>
  <c r="W85" i="1"/>
  <c r="W84" i="1"/>
  <c r="W83" i="1"/>
  <c r="W82" i="1"/>
  <c r="W81" i="1"/>
  <c r="W80" i="1"/>
  <c r="W79" i="1"/>
  <c r="W78" i="1"/>
  <c r="W77" i="1"/>
  <c r="W76" i="1"/>
  <c r="W75" i="1"/>
  <c r="W74" i="1"/>
  <c r="W73" i="1"/>
  <c r="W72" i="1"/>
  <c r="W71" i="1"/>
  <c r="W82" i="4"/>
  <c r="W81" i="4"/>
  <c r="W80" i="4"/>
  <c r="W79" i="4"/>
  <c r="W78" i="4"/>
  <c r="W77" i="4"/>
  <c r="W76" i="4"/>
  <c r="W75" i="4"/>
  <c r="W74" i="4"/>
  <c r="W73" i="4"/>
  <c r="W72" i="4"/>
  <c r="W71" i="4"/>
  <c r="W70" i="4"/>
  <c r="W69" i="4"/>
  <c r="W68" i="4"/>
  <c r="W67" i="4"/>
  <c r="W66" i="4"/>
  <c r="W65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E82" i="4"/>
  <c r="D82" i="4"/>
  <c r="C82" i="4"/>
  <c r="B82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E81" i="4"/>
  <c r="D81" i="4"/>
  <c r="C81" i="4"/>
  <c r="B81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D80" i="4"/>
  <c r="C80" i="4"/>
  <c r="B80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E79" i="4"/>
  <c r="D79" i="4"/>
  <c r="C79" i="4"/>
  <c r="B79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E78" i="4"/>
  <c r="D78" i="4"/>
  <c r="C78" i="4"/>
  <c r="B78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E77" i="4"/>
  <c r="D77" i="4"/>
  <c r="C77" i="4"/>
  <c r="B77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76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75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74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73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72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71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70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69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68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67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66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65" i="4"/>
  <c r="V22" i="1" l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X162" i="2" l="1"/>
  <c r="W162" i="2"/>
  <c r="V162" i="2"/>
  <c r="U162" i="2"/>
  <c r="T162" i="2"/>
  <c r="S162" i="2"/>
  <c r="R162" i="2"/>
  <c r="Q162" i="2"/>
  <c r="P162" i="2"/>
  <c r="O162" i="2"/>
  <c r="N162" i="2"/>
  <c r="M162" i="2"/>
  <c r="L162" i="2"/>
  <c r="K162" i="2"/>
  <c r="J162" i="2"/>
  <c r="I162" i="2"/>
  <c r="X161" i="2"/>
  <c r="W161" i="2"/>
  <c r="V161" i="2"/>
  <c r="U161" i="2"/>
  <c r="T161" i="2"/>
  <c r="S161" i="2"/>
  <c r="R161" i="2"/>
  <c r="Q161" i="2"/>
  <c r="P161" i="2"/>
  <c r="O161" i="2"/>
  <c r="N161" i="2"/>
  <c r="M161" i="2"/>
  <c r="L161" i="2"/>
  <c r="K161" i="2"/>
  <c r="J161" i="2"/>
  <c r="I161" i="2"/>
  <c r="X160" i="2"/>
  <c r="W160" i="2"/>
  <c r="V160" i="2"/>
  <c r="U160" i="2"/>
  <c r="T160" i="2"/>
  <c r="S160" i="2"/>
  <c r="R160" i="2"/>
  <c r="Q160" i="2"/>
  <c r="P160" i="2"/>
  <c r="O160" i="2"/>
  <c r="N160" i="2"/>
  <c r="M160" i="2"/>
  <c r="L160" i="2"/>
  <c r="K160" i="2"/>
  <c r="J160" i="2"/>
  <c r="I160" i="2"/>
  <c r="X159" i="2"/>
  <c r="W159" i="2"/>
  <c r="V159" i="2"/>
  <c r="U159" i="2"/>
  <c r="T159" i="2"/>
  <c r="S159" i="2"/>
  <c r="R159" i="2"/>
  <c r="Q159" i="2"/>
  <c r="P159" i="2"/>
  <c r="O159" i="2"/>
  <c r="N159" i="2"/>
  <c r="M159" i="2"/>
  <c r="L159" i="2"/>
  <c r="K159" i="2"/>
  <c r="J159" i="2"/>
  <c r="I159" i="2"/>
  <c r="X158" i="2"/>
  <c r="W158" i="2"/>
  <c r="V158" i="2"/>
  <c r="U158" i="2"/>
  <c r="T158" i="2"/>
  <c r="S158" i="2"/>
  <c r="R158" i="2"/>
  <c r="Q158" i="2"/>
  <c r="P158" i="2"/>
  <c r="O158" i="2"/>
  <c r="N158" i="2"/>
  <c r="M158" i="2"/>
  <c r="L158" i="2"/>
  <c r="K158" i="2"/>
  <c r="J158" i="2"/>
  <c r="I158" i="2"/>
  <c r="X157" i="2"/>
  <c r="W157" i="2"/>
  <c r="V157" i="2"/>
  <c r="U157" i="2"/>
  <c r="T157" i="2"/>
  <c r="S157" i="2"/>
  <c r="R157" i="2"/>
  <c r="Q157" i="2"/>
  <c r="P157" i="2"/>
  <c r="O157" i="2"/>
  <c r="N157" i="2"/>
  <c r="M157" i="2"/>
  <c r="L157" i="2"/>
  <c r="K157" i="2"/>
  <c r="J157" i="2"/>
  <c r="I157" i="2"/>
  <c r="X156" i="2"/>
  <c r="W156" i="2"/>
  <c r="V156" i="2"/>
  <c r="U156" i="2"/>
  <c r="T156" i="2"/>
  <c r="S156" i="2"/>
  <c r="R156" i="2"/>
  <c r="Q156" i="2"/>
  <c r="P156" i="2"/>
  <c r="O156" i="2"/>
  <c r="N156" i="2"/>
  <c r="M156" i="2"/>
  <c r="L156" i="2"/>
  <c r="K156" i="2"/>
  <c r="J156" i="2"/>
  <c r="I156" i="2"/>
  <c r="X155" i="2"/>
  <c r="W155" i="2"/>
  <c r="V155" i="2"/>
  <c r="U155" i="2"/>
  <c r="T155" i="2"/>
  <c r="S155" i="2"/>
  <c r="R155" i="2"/>
  <c r="Q155" i="2"/>
  <c r="P155" i="2"/>
  <c r="O155" i="2"/>
  <c r="N155" i="2"/>
  <c r="M155" i="2"/>
  <c r="L155" i="2"/>
  <c r="K155" i="2"/>
  <c r="J155" i="2"/>
  <c r="I155" i="2"/>
  <c r="X154" i="2"/>
  <c r="W154" i="2"/>
  <c r="V154" i="2"/>
  <c r="U154" i="2"/>
  <c r="T154" i="2"/>
  <c r="S154" i="2"/>
  <c r="R154" i="2"/>
  <c r="Q154" i="2"/>
  <c r="P154" i="2"/>
  <c r="O154" i="2"/>
  <c r="N154" i="2"/>
  <c r="M154" i="2"/>
  <c r="L154" i="2"/>
  <c r="K154" i="2"/>
  <c r="J154" i="2"/>
  <c r="I154" i="2"/>
  <c r="X153" i="2"/>
  <c r="W153" i="2"/>
  <c r="V153" i="2"/>
  <c r="U153" i="2"/>
  <c r="T153" i="2"/>
  <c r="S153" i="2"/>
  <c r="R153" i="2"/>
  <c r="Q153" i="2"/>
  <c r="P153" i="2"/>
  <c r="O153" i="2"/>
  <c r="N153" i="2"/>
  <c r="M153" i="2"/>
  <c r="L153" i="2"/>
  <c r="K153" i="2"/>
  <c r="J153" i="2"/>
  <c r="I153" i="2"/>
  <c r="X152" i="2"/>
  <c r="W152" i="2"/>
  <c r="V152" i="2"/>
  <c r="U152" i="2"/>
  <c r="T152" i="2"/>
  <c r="S152" i="2"/>
  <c r="R152" i="2"/>
  <c r="Q152" i="2"/>
  <c r="P152" i="2"/>
  <c r="O152" i="2"/>
  <c r="N152" i="2"/>
  <c r="M152" i="2"/>
  <c r="L152" i="2"/>
  <c r="K152" i="2"/>
  <c r="J152" i="2"/>
  <c r="I152" i="2"/>
  <c r="X151" i="2"/>
  <c r="W151" i="2"/>
  <c r="V151" i="2"/>
  <c r="U151" i="2"/>
  <c r="T151" i="2"/>
  <c r="S151" i="2"/>
  <c r="R151" i="2"/>
  <c r="Q151" i="2"/>
  <c r="P151" i="2"/>
  <c r="O151" i="2"/>
  <c r="N151" i="2"/>
  <c r="M151" i="2"/>
  <c r="L151" i="2"/>
  <c r="K151" i="2"/>
  <c r="J151" i="2"/>
  <c r="I151" i="2"/>
  <c r="X150" i="2"/>
  <c r="W150" i="2"/>
  <c r="V150" i="2"/>
  <c r="U150" i="2"/>
  <c r="T150" i="2"/>
  <c r="S150" i="2"/>
  <c r="R150" i="2"/>
  <c r="Q150" i="2"/>
  <c r="P150" i="2"/>
  <c r="O150" i="2"/>
  <c r="N150" i="2"/>
  <c r="M150" i="2"/>
  <c r="L150" i="2"/>
  <c r="K150" i="2"/>
  <c r="J150" i="2"/>
  <c r="I150" i="2"/>
  <c r="X149" i="2"/>
  <c r="W149" i="2"/>
  <c r="V149" i="2"/>
  <c r="U149" i="2"/>
  <c r="T149" i="2"/>
  <c r="S149" i="2"/>
  <c r="R149" i="2"/>
  <c r="Q149" i="2"/>
  <c r="P149" i="2"/>
  <c r="O149" i="2"/>
  <c r="N149" i="2"/>
  <c r="M149" i="2"/>
  <c r="L149" i="2"/>
  <c r="K149" i="2"/>
  <c r="J149" i="2"/>
  <c r="I149" i="2"/>
  <c r="X148" i="2"/>
  <c r="W148" i="2"/>
  <c r="V148" i="2"/>
  <c r="U148" i="2"/>
  <c r="T148" i="2"/>
  <c r="S148" i="2"/>
  <c r="R148" i="2"/>
  <c r="Q148" i="2"/>
  <c r="P148" i="2"/>
  <c r="O148" i="2"/>
  <c r="N148" i="2"/>
  <c r="M148" i="2"/>
  <c r="L148" i="2"/>
  <c r="K148" i="2"/>
  <c r="J148" i="2"/>
  <c r="I148" i="2"/>
  <c r="X147" i="2"/>
  <c r="W147" i="2"/>
  <c r="V147" i="2"/>
  <c r="U147" i="2"/>
  <c r="T147" i="2"/>
  <c r="S147" i="2"/>
  <c r="R147" i="2"/>
  <c r="Q147" i="2"/>
  <c r="P147" i="2"/>
  <c r="O147" i="2"/>
  <c r="N147" i="2"/>
  <c r="M147" i="2"/>
  <c r="L147" i="2"/>
  <c r="K147" i="2"/>
  <c r="J147" i="2"/>
  <c r="I147" i="2"/>
  <c r="X146" i="2"/>
  <c r="W146" i="2"/>
  <c r="V146" i="2"/>
  <c r="U146" i="2"/>
  <c r="T146" i="2"/>
  <c r="S146" i="2"/>
  <c r="R146" i="2"/>
  <c r="Q146" i="2"/>
  <c r="P146" i="2"/>
  <c r="O146" i="2"/>
  <c r="N146" i="2"/>
  <c r="M146" i="2"/>
  <c r="L146" i="2"/>
  <c r="K146" i="2"/>
  <c r="J146" i="2"/>
  <c r="I146" i="2"/>
  <c r="X145" i="2"/>
  <c r="W145" i="2"/>
  <c r="V145" i="2"/>
  <c r="U145" i="2"/>
  <c r="T145" i="2"/>
  <c r="S145" i="2"/>
  <c r="R145" i="2"/>
  <c r="Q145" i="2"/>
  <c r="P145" i="2"/>
  <c r="O145" i="2"/>
  <c r="N145" i="2"/>
  <c r="M145" i="2"/>
  <c r="L145" i="2"/>
  <c r="K145" i="2"/>
  <c r="J145" i="2"/>
  <c r="I145" i="2"/>
  <c r="X140" i="2"/>
  <c r="W140" i="2"/>
  <c r="V140" i="2"/>
  <c r="V144" i="2" s="1"/>
  <c r="U140" i="2"/>
  <c r="U144" i="2" s="1"/>
  <c r="T140" i="2"/>
  <c r="S140" i="2"/>
  <c r="R140" i="2"/>
  <c r="Q140" i="2"/>
  <c r="P140" i="2"/>
  <c r="O140" i="2"/>
  <c r="N140" i="2"/>
  <c r="M140" i="2"/>
  <c r="L140" i="2"/>
  <c r="K140" i="2"/>
  <c r="J140" i="2"/>
  <c r="I140" i="2"/>
  <c r="AC119" i="2"/>
  <c r="AB119" i="2"/>
  <c r="AA119" i="2"/>
  <c r="Z119" i="2"/>
  <c r="Y119" i="2"/>
  <c r="X119" i="2"/>
  <c r="W119" i="2"/>
  <c r="V119" i="2"/>
  <c r="U119" i="2"/>
  <c r="T119" i="2"/>
  <c r="S119" i="2"/>
  <c r="R119" i="2"/>
  <c r="Q119" i="2"/>
  <c r="P119" i="2"/>
  <c r="O119" i="2"/>
  <c r="N119" i="2"/>
  <c r="M119" i="2"/>
  <c r="L119" i="2"/>
  <c r="K119" i="2"/>
  <c r="J119" i="2"/>
  <c r="I119" i="2"/>
  <c r="C61" i="4"/>
  <c r="D61" i="4" s="1"/>
  <c r="E61" i="4" s="1"/>
  <c r="F61" i="4" s="1"/>
  <c r="G61" i="4" s="1"/>
  <c r="H61" i="4" s="1"/>
  <c r="I61" i="4" s="1"/>
  <c r="J61" i="4" s="1"/>
  <c r="K61" i="4" s="1"/>
  <c r="L61" i="4" s="1"/>
  <c r="M61" i="4" s="1"/>
  <c r="N61" i="4" s="1"/>
  <c r="O61" i="4" s="1"/>
  <c r="P61" i="4" s="1"/>
  <c r="Q61" i="4" s="1"/>
  <c r="R61" i="4" s="1"/>
  <c r="S61" i="4" s="1"/>
  <c r="T61" i="4" s="1"/>
  <c r="U61" i="4" s="1"/>
  <c r="V61" i="4" s="1"/>
  <c r="C60" i="4"/>
  <c r="D60" i="4" s="1"/>
  <c r="E60" i="4" s="1"/>
  <c r="F60" i="4" s="1"/>
  <c r="G60" i="4" s="1"/>
  <c r="H60" i="4" s="1"/>
  <c r="I60" i="4" s="1"/>
  <c r="J60" i="4" s="1"/>
  <c r="K60" i="4" s="1"/>
  <c r="L60" i="4" s="1"/>
  <c r="M60" i="4" s="1"/>
  <c r="N60" i="4" s="1"/>
  <c r="O60" i="4" s="1"/>
  <c r="P60" i="4" s="1"/>
  <c r="Q60" i="4" s="1"/>
  <c r="R60" i="4" s="1"/>
  <c r="S60" i="4" s="1"/>
  <c r="T60" i="4" s="1"/>
  <c r="U60" i="4" s="1"/>
  <c r="V60" i="4" s="1"/>
  <c r="C59" i="4"/>
  <c r="D59" i="4" s="1"/>
  <c r="E59" i="4" s="1"/>
  <c r="F59" i="4" s="1"/>
  <c r="G59" i="4" s="1"/>
  <c r="H59" i="4" s="1"/>
  <c r="I59" i="4" s="1"/>
  <c r="J59" i="4" s="1"/>
  <c r="K59" i="4" s="1"/>
  <c r="L59" i="4" s="1"/>
  <c r="M59" i="4" s="1"/>
  <c r="N59" i="4" s="1"/>
  <c r="O59" i="4" s="1"/>
  <c r="P59" i="4" s="1"/>
  <c r="Q59" i="4" s="1"/>
  <c r="R59" i="4" s="1"/>
  <c r="S59" i="4" s="1"/>
  <c r="T59" i="4" s="1"/>
  <c r="U59" i="4" s="1"/>
  <c r="V59" i="4" s="1"/>
  <c r="C58" i="4"/>
  <c r="D58" i="4" s="1"/>
  <c r="E58" i="4" s="1"/>
  <c r="F58" i="4" s="1"/>
  <c r="G58" i="4" s="1"/>
  <c r="H58" i="4" s="1"/>
  <c r="I58" i="4" s="1"/>
  <c r="J58" i="4" s="1"/>
  <c r="K58" i="4" s="1"/>
  <c r="L58" i="4" s="1"/>
  <c r="M58" i="4" s="1"/>
  <c r="N58" i="4" s="1"/>
  <c r="O58" i="4" s="1"/>
  <c r="P58" i="4" s="1"/>
  <c r="Q58" i="4" s="1"/>
  <c r="R58" i="4" s="1"/>
  <c r="S58" i="4" s="1"/>
  <c r="T58" i="4" s="1"/>
  <c r="U58" i="4" s="1"/>
  <c r="V58" i="4" s="1"/>
  <c r="C57" i="4"/>
  <c r="D57" i="4" s="1"/>
  <c r="E57" i="4" s="1"/>
  <c r="F57" i="4" s="1"/>
  <c r="G57" i="4" s="1"/>
  <c r="H57" i="4" s="1"/>
  <c r="I57" i="4" s="1"/>
  <c r="J57" i="4" s="1"/>
  <c r="K57" i="4" s="1"/>
  <c r="L57" i="4" s="1"/>
  <c r="M57" i="4" s="1"/>
  <c r="N57" i="4" s="1"/>
  <c r="O57" i="4" s="1"/>
  <c r="P57" i="4" s="1"/>
  <c r="Q57" i="4" s="1"/>
  <c r="R57" i="4" s="1"/>
  <c r="S57" i="4" s="1"/>
  <c r="T57" i="4" s="1"/>
  <c r="U57" i="4" s="1"/>
  <c r="V57" i="4" s="1"/>
  <c r="C56" i="4"/>
  <c r="D56" i="4" s="1"/>
  <c r="E56" i="4" s="1"/>
  <c r="F56" i="4" s="1"/>
  <c r="G56" i="4" s="1"/>
  <c r="H56" i="4" s="1"/>
  <c r="I56" i="4" s="1"/>
  <c r="J56" i="4" s="1"/>
  <c r="K56" i="4" s="1"/>
  <c r="L56" i="4" s="1"/>
  <c r="M56" i="4" s="1"/>
  <c r="N56" i="4" s="1"/>
  <c r="O56" i="4" s="1"/>
  <c r="P56" i="4" s="1"/>
  <c r="Q56" i="4" s="1"/>
  <c r="R56" i="4" s="1"/>
  <c r="S56" i="4" s="1"/>
  <c r="T56" i="4" s="1"/>
  <c r="U56" i="4" s="1"/>
  <c r="V56" i="4" s="1"/>
  <c r="C55" i="4"/>
  <c r="D55" i="4" s="1"/>
  <c r="E55" i="4" s="1"/>
  <c r="F55" i="4" s="1"/>
  <c r="G55" i="4" s="1"/>
  <c r="H55" i="4" s="1"/>
  <c r="I55" i="4" s="1"/>
  <c r="J55" i="4" s="1"/>
  <c r="K55" i="4" s="1"/>
  <c r="L55" i="4" s="1"/>
  <c r="M55" i="4" s="1"/>
  <c r="N55" i="4" s="1"/>
  <c r="O55" i="4" s="1"/>
  <c r="P55" i="4" s="1"/>
  <c r="Q55" i="4" s="1"/>
  <c r="R55" i="4" s="1"/>
  <c r="S55" i="4" s="1"/>
  <c r="T55" i="4" s="1"/>
  <c r="U55" i="4" s="1"/>
  <c r="V55" i="4" s="1"/>
  <c r="C54" i="4"/>
  <c r="D54" i="4" s="1"/>
  <c r="E54" i="4" s="1"/>
  <c r="F54" i="4" s="1"/>
  <c r="G54" i="4" s="1"/>
  <c r="H54" i="4" s="1"/>
  <c r="I54" i="4" s="1"/>
  <c r="J54" i="4" s="1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V54" i="4" s="1"/>
  <c r="C53" i="4"/>
  <c r="D53" i="4" s="1"/>
  <c r="E53" i="4" s="1"/>
  <c r="F53" i="4" s="1"/>
  <c r="G53" i="4" s="1"/>
  <c r="H53" i="4" s="1"/>
  <c r="I53" i="4" s="1"/>
  <c r="J53" i="4" s="1"/>
  <c r="K53" i="4" s="1"/>
  <c r="L53" i="4" s="1"/>
  <c r="M53" i="4" s="1"/>
  <c r="N53" i="4" s="1"/>
  <c r="O53" i="4" s="1"/>
  <c r="P53" i="4" s="1"/>
  <c r="Q53" i="4" s="1"/>
  <c r="R53" i="4" s="1"/>
  <c r="S53" i="4" s="1"/>
  <c r="T53" i="4" s="1"/>
  <c r="U53" i="4" s="1"/>
  <c r="V53" i="4" s="1"/>
  <c r="C52" i="4"/>
  <c r="D52" i="4" s="1"/>
  <c r="E52" i="4" s="1"/>
  <c r="F52" i="4" s="1"/>
  <c r="G52" i="4" s="1"/>
  <c r="H52" i="4" s="1"/>
  <c r="I52" i="4" s="1"/>
  <c r="J52" i="4" s="1"/>
  <c r="K52" i="4" s="1"/>
  <c r="L52" i="4" s="1"/>
  <c r="M52" i="4" s="1"/>
  <c r="N52" i="4" s="1"/>
  <c r="O52" i="4" s="1"/>
  <c r="P52" i="4" s="1"/>
  <c r="Q52" i="4" s="1"/>
  <c r="R52" i="4" s="1"/>
  <c r="S52" i="4" s="1"/>
  <c r="T52" i="4" s="1"/>
  <c r="U52" i="4" s="1"/>
  <c r="V52" i="4" s="1"/>
  <c r="C51" i="4"/>
  <c r="D51" i="4" s="1"/>
  <c r="E51" i="4" s="1"/>
  <c r="F51" i="4" s="1"/>
  <c r="G51" i="4" s="1"/>
  <c r="H51" i="4" s="1"/>
  <c r="I51" i="4" s="1"/>
  <c r="J51" i="4" s="1"/>
  <c r="K51" i="4" s="1"/>
  <c r="L51" i="4" s="1"/>
  <c r="M51" i="4" s="1"/>
  <c r="N51" i="4" s="1"/>
  <c r="O51" i="4" s="1"/>
  <c r="P51" i="4" s="1"/>
  <c r="Q51" i="4" s="1"/>
  <c r="R51" i="4" s="1"/>
  <c r="S51" i="4" s="1"/>
  <c r="T51" i="4" s="1"/>
  <c r="U51" i="4" s="1"/>
  <c r="V51" i="4" s="1"/>
  <c r="C50" i="4"/>
  <c r="D50" i="4" s="1"/>
  <c r="E50" i="4" s="1"/>
  <c r="F50" i="4" s="1"/>
  <c r="G50" i="4" s="1"/>
  <c r="H50" i="4" s="1"/>
  <c r="I50" i="4" s="1"/>
  <c r="J50" i="4" s="1"/>
  <c r="K50" i="4" s="1"/>
  <c r="L50" i="4" s="1"/>
  <c r="M50" i="4" s="1"/>
  <c r="N50" i="4" s="1"/>
  <c r="O50" i="4" s="1"/>
  <c r="P50" i="4" s="1"/>
  <c r="Q50" i="4" s="1"/>
  <c r="R50" i="4" s="1"/>
  <c r="S50" i="4" s="1"/>
  <c r="T50" i="4" s="1"/>
  <c r="U50" i="4" s="1"/>
  <c r="V50" i="4" s="1"/>
  <c r="C49" i="4"/>
  <c r="D49" i="4" s="1"/>
  <c r="E49" i="4" s="1"/>
  <c r="F49" i="4" s="1"/>
  <c r="G49" i="4" s="1"/>
  <c r="H49" i="4" s="1"/>
  <c r="I49" i="4" s="1"/>
  <c r="J49" i="4" s="1"/>
  <c r="K49" i="4" s="1"/>
  <c r="L49" i="4" s="1"/>
  <c r="M49" i="4" s="1"/>
  <c r="N49" i="4" s="1"/>
  <c r="O49" i="4" s="1"/>
  <c r="P49" i="4" s="1"/>
  <c r="Q49" i="4" s="1"/>
  <c r="R49" i="4" s="1"/>
  <c r="S49" i="4" s="1"/>
  <c r="T49" i="4" s="1"/>
  <c r="U49" i="4" s="1"/>
  <c r="V49" i="4" s="1"/>
  <c r="C48" i="4"/>
  <c r="D48" i="4" s="1"/>
  <c r="E48" i="4" s="1"/>
  <c r="F48" i="4" s="1"/>
  <c r="G48" i="4" s="1"/>
  <c r="H48" i="4" s="1"/>
  <c r="I48" i="4" s="1"/>
  <c r="J48" i="4" s="1"/>
  <c r="K48" i="4" s="1"/>
  <c r="L48" i="4" s="1"/>
  <c r="M48" i="4" s="1"/>
  <c r="N48" i="4" s="1"/>
  <c r="O48" i="4" s="1"/>
  <c r="P48" i="4" s="1"/>
  <c r="Q48" i="4" s="1"/>
  <c r="R48" i="4" s="1"/>
  <c r="S48" i="4" s="1"/>
  <c r="T48" i="4" s="1"/>
  <c r="U48" i="4" s="1"/>
  <c r="V48" i="4" s="1"/>
  <c r="C47" i="4"/>
  <c r="D47" i="4" s="1"/>
  <c r="E47" i="4" s="1"/>
  <c r="F47" i="4" s="1"/>
  <c r="G47" i="4" s="1"/>
  <c r="H47" i="4" s="1"/>
  <c r="I47" i="4" s="1"/>
  <c r="J47" i="4" s="1"/>
  <c r="K47" i="4" s="1"/>
  <c r="L47" i="4" s="1"/>
  <c r="M47" i="4" s="1"/>
  <c r="N47" i="4" s="1"/>
  <c r="O47" i="4" s="1"/>
  <c r="P47" i="4" s="1"/>
  <c r="Q47" i="4" s="1"/>
  <c r="R47" i="4" s="1"/>
  <c r="S47" i="4" s="1"/>
  <c r="T47" i="4" s="1"/>
  <c r="U47" i="4" s="1"/>
  <c r="V47" i="4" s="1"/>
  <c r="C46" i="4"/>
  <c r="D46" i="4" s="1"/>
  <c r="E46" i="4" s="1"/>
  <c r="F46" i="4" s="1"/>
  <c r="G46" i="4" s="1"/>
  <c r="H46" i="4" s="1"/>
  <c r="I46" i="4" s="1"/>
  <c r="J46" i="4" s="1"/>
  <c r="K46" i="4" s="1"/>
  <c r="L46" i="4" s="1"/>
  <c r="M46" i="4" s="1"/>
  <c r="N46" i="4" s="1"/>
  <c r="O46" i="4" s="1"/>
  <c r="P46" i="4" s="1"/>
  <c r="Q46" i="4" s="1"/>
  <c r="R46" i="4" s="1"/>
  <c r="S46" i="4" s="1"/>
  <c r="T46" i="4" s="1"/>
  <c r="U46" i="4" s="1"/>
  <c r="V46" i="4" s="1"/>
  <c r="C45" i="4"/>
  <c r="D45" i="4" s="1"/>
  <c r="E45" i="4" s="1"/>
  <c r="F45" i="4" s="1"/>
  <c r="G45" i="4" s="1"/>
  <c r="H45" i="4" s="1"/>
  <c r="I45" i="4" s="1"/>
  <c r="J45" i="4" s="1"/>
  <c r="K45" i="4" s="1"/>
  <c r="L45" i="4" s="1"/>
  <c r="M45" i="4" s="1"/>
  <c r="N45" i="4" s="1"/>
  <c r="O45" i="4" s="1"/>
  <c r="P45" i="4" s="1"/>
  <c r="Q45" i="4" s="1"/>
  <c r="R45" i="4" s="1"/>
  <c r="S45" i="4" s="1"/>
  <c r="T45" i="4" s="1"/>
  <c r="U45" i="4" s="1"/>
  <c r="V45" i="4" s="1"/>
  <c r="C44" i="4"/>
  <c r="D44" i="4" s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C75" i="1"/>
  <c r="B75" i="1"/>
  <c r="B74" i="1"/>
  <c r="B73" i="1"/>
  <c r="B72" i="1"/>
  <c r="B71" i="1"/>
  <c r="C49" i="1"/>
  <c r="D49" i="1" s="1"/>
  <c r="E49" i="1" s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V72" i="1" s="1"/>
  <c r="C53" i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V76" i="1" s="1"/>
  <c r="C55" i="1"/>
  <c r="D55" i="1" s="1"/>
  <c r="E55" i="1" s="1"/>
  <c r="F55" i="1" s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V78" i="1" s="1"/>
  <c r="C56" i="1"/>
  <c r="D56" i="1" s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O56" i="1" s="1"/>
  <c r="P56" i="1" s="1"/>
  <c r="Q56" i="1" s="1"/>
  <c r="R56" i="1" s="1"/>
  <c r="S56" i="1" s="1"/>
  <c r="T56" i="1" s="1"/>
  <c r="U56" i="1" s="1"/>
  <c r="V56" i="1" s="1"/>
  <c r="V79" i="1" s="1"/>
  <c r="C60" i="1"/>
  <c r="D60" i="1" s="1"/>
  <c r="E60" i="1" s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V83" i="1" s="1"/>
  <c r="C65" i="1"/>
  <c r="D65" i="1" s="1"/>
  <c r="E65" i="1" s="1"/>
  <c r="F65" i="1" s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V88" i="1" s="1"/>
  <c r="C62" i="1"/>
  <c r="D62" i="1" s="1"/>
  <c r="E62" i="1" s="1"/>
  <c r="F62" i="1" s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V85" i="1" s="1"/>
  <c r="C58" i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V81" i="1" s="1"/>
  <c r="C52" i="1"/>
  <c r="D52" i="1" s="1"/>
  <c r="E52" i="1" s="1"/>
  <c r="F52" i="1" s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 s="1"/>
  <c r="S52" i="1" s="1"/>
  <c r="T52" i="1" s="1"/>
  <c r="U52" i="1" s="1"/>
  <c r="V52" i="1" s="1"/>
  <c r="V75" i="1" s="1"/>
  <c r="C51" i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V74" i="1" s="1"/>
  <c r="C48" i="1"/>
  <c r="D48" i="1" s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V71" i="1" s="1"/>
  <c r="X45" i="2"/>
  <c r="X51" i="2" s="1"/>
  <c r="W45" i="2"/>
  <c r="V45" i="2"/>
  <c r="V51" i="2" s="1"/>
  <c r="U45" i="2"/>
  <c r="T45" i="2"/>
  <c r="S45" i="2"/>
  <c r="R45" i="2"/>
  <c r="Q45" i="2"/>
  <c r="P45" i="2"/>
  <c r="O45" i="2"/>
  <c r="N45" i="2"/>
  <c r="M45" i="2"/>
  <c r="L45" i="2"/>
  <c r="K45" i="2"/>
  <c r="J45" i="2"/>
  <c r="J51" i="2" s="1"/>
  <c r="I45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F21" i="2"/>
  <c r="F20" i="2"/>
  <c r="F19" i="2"/>
  <c r="F18" i="2"/>
  <c r="F17" i="2"/>
  <c r="D17" i="2"/>
  <c r="F16" i="2"/>
  <c r="F15" i="2"/>
  <c r="F14" i="2"/>
  <c r="F13" i="2"/>
  <c r="F12" i="2"/>
  <c r="F11" i="2"/>
  <c r="D11" i="2"/>
  <c r="F10" i="2"/>
  <c r="D10" i="2"/>
  <c r="F9" i="2"/>
  <c r="D9" i="2"/>
  <c r="F8" i="2"/>
  <c r="D8" i="2"/>
  <c r="F7" i="2"/>
  <c r="F6" i="2"/>
  <c r="F5" i="2"/>
  <c r="F4" i="2"/>
  <c r="D4" i="2"/>
  <c r="F3" i="2"/>
  <c r="D3" i="2"/>
  <c r="F2" i="2"/>
  <c r="D2" i="2"/>
  <c r="J1" i="2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C1" i="2" s="1"/>
  <c r="K51" i="2" l="1"/>
  <c r="L51" i="2"/>
  <c r="M51" i="2"/>
  <c r="I51" i="2"/>
  <c r="W51" i="2"/>
  <c r="O51" i="2"/>
  <c r="P51" i="2"/>
  <c r="Q51" i="2"/>
  <c r="R51" i="2"/>
  <c r="N51" i="2"/>
  <c r="S51" i="2"/>
  <c r="T51" i="2"/>
  <c r="U51" i="2"/>
  <c r="V47" i="2"/>
  <c r="W47" i="2"/>
  <c r="J47" i="2"/>
  <c r="X47" i="2"/>
  <c r="K47" i="2"/>
  <c r="L47" i="2"/>
  <c r="M47" i="2"/>
  <c r="N47" i="2"/>
  <c r="O47" i="2"/>
  <c r="P47" i="2"/>
  <c r="Q47" i="2"/>
  <c r="R47" i="2"/>
  <c r="S47" i="2"/>
  <c r="T47" i="2"/>
  <c r="U47" i="2"/>
  <c r="T144" i="2"/>
  <c r="J144" i="2"/>
  <c r="K144" i="2"/>
  <c r="I144" i="2"/>
  <c r="W144" i="2"/>
  <c r="X144" i="2"/>
  <c r="S144" i="2"/>
  <c r="L144" i="2"/>
  <c r="M144" i="2"/>
  <c r="O144" i="2"/>
  <c r="N144" i="2"/>
  <c r="Q144" i="2"/>
  <c r="R144" i="2"/>
  <c r="P144" i="2"/>
  <c r="B83" i="4"/>
  <c r="F85" i="1"/>
  <c r="G85" i="1"/>
  <c r="C81" i="1"/>
  <c r="E81" i="1"/>
  <c r="G81" i="1"/>
  <c r="O81" i="1"/>
  <c r="C71" i="1"/>
  <c r="H76" i="1"/>
  <c r="F71" i="1"/>
  <c r="I76" i="1"/>
  <c r="J81" i="1"/>
  <c r="U71" i="1"/>
  <c r="P81" i="1"/>
  <c r="Q81" i="1"/>
  <c r="K79" i="1"/>
  <c r="T81" i="1"/>
  <c r="H74" i="1"/>
  <c r="O79" i="1"/>
  <c r="U81" i="1"/>
  <c r="I74" i="1"/>
  <c r="Q79" i="1"/>
  <c r="J74" i="1"/>
  <c r="S79" i="1"/>
  <c r="N74" i="1"/>
  <c r="T79" i="1"/>
  <c r="J79" i="1"/>
  <c r="U83" i="1"/>
  <c r="C76" i="1"/>
  <c r="H88" i="1"/>
  <c r="D76" i="1"/>
  <c r="H78" i="1"/>
  <c r="I88" i="1"/>
  <c r="F76" i="1"/>
  <c r="I78" i="1"/>
  <c r="P79" i="1"/>
  <c r="C85" i="1"/>
  <c r="J88" i="1"/>
  <c r="N88" i="1"/>
  <c r="J85" i="1"/>
  <c r="O85" i="1"/>
  <c r="J78" i="1"/>
  <c r="P85" i="1"/>
  <c r="M78" i="1"/>
  <c r="C79" i="1"/>
  <c r="Q85" i="1"/>
  <c r="T85" i="1"/>
  <c r="J76" i="1"/>
  <c r="M76" i="1"/>
  <c r="G71" i="1"/>
  <c r="N76" i="1"/>
  <c r="D79" i="1"/>
  <c r="G83" i="1"/>
  <c r="O71" i="1"/>
  <c r="O75" i="1"/>
  <c r="Q76" i="1"/>
  <c r="E79" i="1"/>
  <c r="D81" i="1"/>
  <c r="O83" i="1"/>
  <c r="U85" i="1"/>
  <c r="U79" i="1"/>
  <c r="P71" i="1"/>
  <c r="P75" i="1"/>
  <c r="R76" i="1"/>
  <c r="F79" i="1"/>
  <c r="P83" i="1"/>
  <c r="N78" i="1"/>
  <c r="B91" i="1"/>
  <c r="K76" i="1"/>
  <c r="L76" i="1"/>
  <c r="C83" i="1"/>
  <c r="Q71" i="1"/>
  <c r="Q75" i="1"/>
  <c r="G79" i="1"/>
  <c r="F81" i="1"/>
  <c r="Q83" i="1"/>
  <c r="J72" i="1"/>
  <c r="D71" i="1"/>
  <c r="R71" i="1"/>
  <c r="K72" i="1"/>
  <c r="K74" i="1"/>
  <c r="D75" i="1"/>
  <c r="R75" i="1"/>
  <c r="K78" i="1"/>
  <c r="R79" i="1"/>
  <c r="R81" i="1"/>
  <c r="D83" i="1"/>
  <c r="R83" i="1"/>
  <c r="D85" i="1"/>
  <c r="R85" i="1"/>
  <c r="K88" i="1"/>
  <c r="I72" i="1"/>
  <c r="E71" i="1"/>
  <c r="S71" i="1"/>
  <c r="L72" i="1"/>
  <c r="L74" i="1"/>
  <c r="E75" i="1"/>
  <c r="S75" i="1"/>
  <c r="L78" i="1"/>
  <c r="S81" i="1"/>
  <c r="E83" i="1"/>
  <c r="S83" i="1"/>
  <c r="E85" i="1"/>
  <c r="S85" i="1"/>
  <c r="L88" i="1"/>
  <c r="T71" i="1"/>
  <c r="M72" i="1"/>
  <c r="M74" i="1"/>
  <c r="F75" i="1"/>
  <c r="T75" i="1"/>
  <c r="F83" i="1"/>
  <c r="T83" i="1"/>
  <c r="M88" i="1"/>
  <c r="H72" i="1"/>
  <c r="N72" i="1"/>
  <c r="G75" i="1"/>
  <c r="U75" i="1"/>
  <c r="H71" i="1"/>
  <c r="O72" i="1"/>
  <c r="O74" i="1"/>
  <c r="H75" i="1"/>
  <c r="O76" i="1"/>
  <c r="O78" i="1"/>
  <c r="H79" i="1"/>
  <c r="H81" i="1"/>
  <c r="H83" i="1"/>
  <c r="H85" i="1"/>
  <c r="O88" i="1"/>
  <c r="I71" i="1"/>
  <c r="P72" i="1"/>
  <c r="P74" i="1"/>
  <c r="I75" i="1"/>
  <c r="P76" i="1"/>
  <c r="P78" i="1"/>
  <c r="I79" i="1"/>
  <c r="I81" i="1"/>
  <c r="I83" i="1"/>
  <c r="I85" i="1"/>
  <c r="P88" i="1"/>
  <c r="J71" i="1"/>
  <c r="C72" i="1"/>
  <c r="Q72" i="1"/>
  <c r="C74" i="1"/>
  <c r="Q74" i="1"/>
  <c r="J75" i="1"/>
  <c r="C78" i="1"/>
  <c r="Q78" i="1"/>
  <c r="J83" i="1"/>
  <c r="C88" i="1"/>
  <c r="Q88" i="1"/>
  <c r="K71" i="1"/>
  <c r="D72" i="1"/>
  <c r="R72" i="1"/>
  <c r="D74" i="1"/>
  <c r="R74" i="1"/>
  <c r="K75" i="1"/>
  <c r="D78" i="1"/>
  <c r="R78" i="1"/>
  <c r="K81" i="1"/>
  <c r="K83" i="1"/>
  <c r="K85" i="1"/>
  <c r="D88" i="1"/>
  <c r="R88" i="1"/>
  <c r="L71" i="1"/>
  <c r="E72" i="1"/>
  <c r="S72" i="1"/>
  <c r="E74" i="1"/>
  <c r="S74" i="1"/>
  <c r="L75" i="1"/>
  <c r="E76" i="1"/>
  <c r="S76" i="1"/>
  <c r="E78" i="1"/>
  <c r="S78" i="1"/>
  <c r="L79" i="1"/>
  <c r="L81" i="1"/>
  <c r="L83" i="1"/>
  <c r="L85" i="1"/>
  <c r="E88" i="1"/>
  <c r="S88" i="1"/>
  <c r="M71" i="1"/>
  <c r="F72" i="1"/>
  <c r="T72" i="1"/>
  <c r="F74" i="1"/>
  <c r="T74" i="1"/>
  <c r="M75" i="1"/>
  <c r="T76" i="1"/>
  <c r="F78" i="1"/>
  <c r="T78" i="1"/>
  <c r="M79" i="1"/>
  <c r="M81" i="1"/>
  <c r="M83" i="1"/>
  <c r="M85" i="1"/>
  <c r="F88" i="1"/>
  <c r="T88" i="1"/>
  <c r="N71" i="1"/>
  <c r="G72" i="1"/>
  <c r="U72" i="1"/>
  <c r="G74" i="1"/>
  <c r="U74" i="1"/>
  <c r="N75" i="1"/>
  <c r="G76" i="1"/>
  <c r="U76" i="1"/>
  <c r="G78" i="1"/>
  <c r="U78" i="1"/>
  <c r="N79" i="1"/>
  <c r="N81" i="1"/>
  <c r="N83" i="1"/>
  <c r="N85" i="1"/>
  <c r="G88" i="1"/>
  <c r="U88" i="1"/>
  <c r="E44" i="4"/>
  <c r="C63" i="1"/>
  <c r="C66" i="1"/>
  <c r="C54" i="1"/>
  <c r="D54" i="1" l="1"/>
  <c r="C77" i="1"/>
  <c r="D66" i="1"/>
  <c r="C89" i="1"/>
  <c r="D63" i="1"/>
  <c r="C86" i="1"/>
  <c r="C83" i="4"/>
  <c r="D83" i="4"/>
  <c r="F44" i="4"/>
  <c r="E83" i="4"/>
  <c r="E54" i="1" l="1"/>
  <c r="D77" i="1"/>
  <c r="E63" i="1"/>
  <c r="D86" i="1"/>
  <c r="E66" i="1"/>
  <c r="D89" i="1"/>
  <c r="G44" i="4"/>
  <c r="F83" i="4"/>
  <c r="C57" i="1"/>
  <c r="C80" i="1" s="1"/>
  <c r="C50" i="1"/>
  <c r="C73" i="1" s="1"/>
  <c r="F66" i="1" l="1"/>
  <c r="E89" i="1"/>
  <c r="F63" i="1"/>
  <c r="E86" i="1"/>
  <c r="E77" i="1"/>
  <c r="F54" i="1"/>
  <c r="H44" i="4"/>
  <c r="G83" i="4"/>
  <c r="D57" i="1"/>
  <c r="D80" i="1" s="1"/>
  <c r="C61" i="1"/>
  <c r="C84" i="1" s="1"/>
  <c r="D50" i="1"/>
  <c r="D73" i="1" s="1"/>
  <c r="G63" i="1" l="1"/>
  <c r="F86" i="1"/>
  <c r="F77" i="1"/>
  <c r="G54" i="1"/>
  <c r="G66" i="1"/>
  <c r="F89" i="1"/>
  <c r="I44" i="4"/>
  <c r="H83" i="4"/>
  <c r="C59" i="1"/>
  <c r="C82" i="1" s="1"/>
  <c r="E50" i="1"/>
  <c r="E73" i="1" s="1"/>
  <c r="D61" i="1"/>
  <c r="D84" i="1" s="1"/>
  <c r="E57" i="1"/>
  <c r="E80" i="1" s="1"/>
  <c r="G77" i="1" l="1"/>
  <c r="H54" i="1"/>
  <c r="H63" i="1"/>
  <c r="G86" i="1"/>
  <c r="H66" i="1"/>
  <c r="G89" i="1"/>
  <c r="J44" i="4"/>
  <c r="I83" i="4"/>
  <c r="C64" i="1"/>
  <c r="C87" i="1" s="1"/>
  <c r="F57" i="1"/>
  <c r="F80" i="1" s="1"/>
  <c r="E61" i="1"/>
  <c r="E84" i="1" s="1"/>
  <c r="C67" i="1"/>
  <c r="C90" i="1" s="1"/>
  <c r="C91" i="1" s="1"/>
  <c r="F50" i="1"/>
  <c r="F73" i="1" s="1"/>
  <c r="D59" i="1"/>
  <c r="D82" i="1" s="1"/>
  <c r="I66" i="1" l="1"/>
  <c r="H89" i="1"/>
  <c r="I63" i="1"/>
  <c r="H86" i="1"/>
  <c r="H77" i="1"/>
  <c r="I54" i="1"/>
  <c r="K44" i="4"/>
  <c r="J83" i="4"/>
  <c r="D64" i="1"/>
  <c r="D87" i="1" s="1"/>
  <c r="E59" i="1"/>
  <c r="E82" i="1" s="1"/>
  <c r="G50" i="1"/>
  <c r="G73" i="1" s="1"/>
  <c r="D67" i="1"/>
  <c r="D90" i="1" s="1"/>
  <c r="F61" i="1"/>
  <c r="F84" i="1" s="1"/>
  <c r="G57" i="1"/>
  <c r="G80" i="1" s="1"/>
  <c r="D91" i="1" l="1"/>
  <c r="I77" i="1"/>
  <c r="J54" i="1"/>
  <c r="J63" i="1"/>
  <c r="I86" i="1"/>
  <c r="J66" i="1"/>
  <c r="I89" i="1"/>
  <c r="L44" i="4"/>
  <c r="K83" i="4"/>
  <c r="H57" i="1"/>
  <c r="H80" i="1" s="1"/>
  <c r="G61" i="1"/>
  <c r="G84" i="1" s="1"/>
  <c r="E67" i="1"/>
  <c r="E90" i="1" s="1"/>
  <c r="E91" i="1" s="1"/>
  <c r="H50" i="1"/>
  <c r="H73" i="1" s="1"/>
  <c r="F59" i="1"/>
  <c r="F82" i="1" s="1"/>
  <c r="E64" i="1"/>
  <c r="E87" i="1" s="1"/>
  <c r="K63" i="1" l="1"/>
  <c r="J86" i="1"/>
  <c r="K66" i="1"/>
  <c r="J89" i="1"/>
  <c r="J77" i="1"/>
  <c r="K54" i="1"/>
  <c r="M44" i="4"/>
  <c r="L83" i="4"/>
  <c r="F64" i="1"/>
  <c r="F87" i="1" s="1"/>
  <c r="G59" i="1"/>
  <c r="G82" i="1" s="1"/>
  <c r="I50" i="1"/>
  <c r="I73" i="1" s="1"/>
  <c r="F67" i="1"/>
  <c r="F90" i="1" s="1"/>
  <c r="F91" i="1" s="1"/>
  <c r="H61" i="1"/>
  <c r="H84" i="1" s="1"/>
  <c r="I57" i="1"/>
  <c r="I80" i="1" s="1"/>
  <c r="K77" i="1" l="1"/>
  <c r="L54" i="1"/>
  <c r="L66" i="1"/>
  <c r="K89" i="1"/>
  <c r="L63" i="1"/>
  <c r="K86" i="1"/>
  <c r="N44" i="4"/>
  <c r="M83" i="4"/>
  <c r="J57" i="1"/>
  <c r="J80" i="1" s="1"/>
  <c r="I61" i="1"/>
  <c r="I84" i="1" s="1"/>
  <c r="G67" i="1"/>
  <c r="G90" i="1" s="1"/>
  <c r="J50" i="1"/>
  <c r="J73" i="1" s="1"/>
  <c r="H59" i="1"/>
  <c r="H82" i="1" s="1"/>
  <c r="G64" i="1"/>
  <c r="G87" i="1" s="1"/>
  <c r="G91" i="1" l="1"/>
  <c r="M66" i="1"/>
  <c r="L89" i="1"/>
  <c r="L77" i="1"/>
  <c r="M54" i="1"/>
  <c r="M63" i="1"/>
  <c r="L86" i="1"/>
  <c r="O44" i="4"/>
  <c r="N83" i="4"/>
  <c r="H64" i="1"/>
  <c r="H87" i="1" s="1"/>
  <c r="I59" i="1"/>
  <c r="I82" i="1" s="1"/>
  <c r="K50" i="1"/>
  <c r="K73" i="1" s="1"/>
  <c r="H67" i="1"/>
  <c r="H90" i="1" s="1"/>
  <c r="H91" i="1" s="1"/>
  <c r="J61" i="1"/>
  <c r="J84" i="1" s="1"/>
  <c r="K57" i="1"/>
  <c r="K80" i="1" s="1"/>
  <c r="N63" i="1" l="1"/>
  <c r="M86" i="1"/>
  <c r="M77" i="1"/>
  <c r="N54" i="1"/>
  <c r="N66" i="1"/>
  <c r="M89" i="1"/>
  <c r="P44" i="4"/>
  <c r="O83" i="4"/>
  <c r="L57" i="1"/>
  <c r="L80" i="1" s="1"/>
  <c r="K61" i="1"/>
  <c r="K84" i="1" s="1"/>
  <c r="I67" i="1"/>
  <c r="I90" i="1" s="1"/>
  <c r="L50" i="1"/>
  <c r="L73" i="1" s="1"/>
  <c r="J59" i="1"/>
  <c r="J82" i="1" s="1"/>
  <c r="I64" i="1"/>
  <c r="I87" i="1" s="1"/>
  <c r="I91" i="1" l="1"/>
  <c r="O66" i="1"/>
  <c r="N89" i="1"/>
  <c r="N77" i="1"/>
  <c r="O54" i="1"/>
  <c r="O63" i="1"/>
  <c r="N86" i="1"/>
  <c r="Q44" i="4"/>
  <c r="P83" i="4"/>
  <c r="J64" i="1"/>
  <c r="J87" i="1" s="1"/>
  <c r="K59" i="1"/>
  <c r="K82" i="1" s="1"/>
  <c r="M50" i="1"/>
  <c r="M73" i="1" s="1"/>
  <c r="J67" i="1"/>
  <c r="J90" i="1" s="1"/>
  <c r="J91" i="1" s="1"/>
  <c r="L61" i="1"/>
  <c r="L84" i="1" s="1"/>
  <c r="M57" i="1"/>
  <c r="M80" i="1" s="1"/>
  <c r="P63" i="1" l="1"/>
  <c r="O86" i="1"/>
  <c r="O77" i="1"/>
  <c r="P54" i="1"/>
  <c r="P66" i="1"/>
  <c r="O89" i="1"/>
  <c r="R44" i="4"/>
  <c r="Q83" i="4"/>
  <c r="N57" i="1"/>
  <c r="N80" i="1" s="1"/>
  <c r="M61" i="1"/>
  <c r="M84" i="1" s="1"/>
  <c r="K67" i="1"/>
  <c r="K90" i="1" s="1"/>
  <c r="N50" i="1"/>
  <c r="N73" i="1" s="1"/>
  <c r="L59" i="1"/>
  <c r="L82" i="1" s="1"/>
  <c r="K64" i="1"/>
  <c r="K87" i="1" s="1"/>
  <c r="K91" i="1" l="1"/>
  <c r="Q66" i="1"/>
  <c r="P89" i="1"/>
  <c r="P77" i="1"/>
  <c r="Q54" i="1"/>
  <c r="Q63" i="1"/>
  <c r="P86" i="1"/>
  <c r="S44" i="4"/>
  <c r="R83" i="4"/>
  <c r="L64" i="1"/>
  <c r="L87" i="1" s="1"/>
  <c r="M59" i="1"/>
  <c r="M82" i="1" s="1"/>
  <c r="O50" i="1"/>
  <c r="O73" i="1" s="1"/>
  <c r="L67" i="1"/>
  <c r="L90" i="1" s="1"/>
  <c r="N61" i="1"/>
  <c r="N84" i="1" s="1"/>
  <c r="O57" i="1"/>
  <c r="O80" i="1" s="1"/>
  <c r="L91" i="1" l="1"/>
  <c r="R63" i="1"/>
  <c r="Q86" i="1"/>
  <c r="Q77" i="1"/>
  <c r="R54" i="1"/>
  <c r="R66" i="1"/>
  <c r="Q89" i="1"/>
  <c r="T44" i="4"/>
  <c r="S83" i="4"/>
  <c r="P57" i="1"/>
  <c r="P80" i="1" s="1"/>
  <c r="O61" i="1"/>
  <c r="O84" i="1" s="1"/>
  <c r="M67" i="1"/>
  <c r="M90" i="1" s="1"/>
  <c r="M91" i="1" s="1"/>
  <c r="P50" i="1"/>
  <c r="P73" i="1" s="1"/>
  <c r="N59" i="1"/>
  <c r="N82" i="1" s="1"/>
  <c r="M64" i="1"/>
  <c r="M87" i="1" s="1"/>
  <c r="S66" i="1" l="1"/>
  <c r="R89" i="1"/>
  <c r="R77" i="1"/>
  <c r="S54" i="1"/>
  <c r="S63" i="1"/>
  <c r="R86" i="1"/>
  <c r="U44" i="4"/>
  <c r="T83" i="4"/>
  <c r="N64" i="1"/>
  <c r="N87" i="1" s="1"/>
  <c r="O59" i="1"/>
  <c r="O82" i="1" s="1"/>
  <c r="Q50" i="1"/>
  <c r="Q73" i="1" s="1"/>
  <c r="N67" i="1"/>
  <c r="N90" i="1" s="1"/>
  <c r="N91" i="1" s="1"/>
  <c r="P61" i="1"/>
  <c r="P84" i="1" s="1"/>
  <c r="Q57" i="1"/>
  <c r="Q80" i="1" s="1"/>
  <c r="T63" i="1" l="1"/>
  <c r="S86" i="1"/>
  <c r="S77" i="1"/>
  <c r="T54" i="1"/>
  <c r="T66" i="1"/>
  <c r="S89" i="1"/>
  <c r="V44" i="4"/>
  <c r="V83" i="4" s="1"/>
  <c r="U83" i="4"/>
  <c r="R57" i="1"/>
  <c r="R80" i="1" s="1"/>
  <c r="Q61" i="1"/>
  <c r="Q84" i="1" s="1"/>
  <c r="O67" i="1"/>
  <c r="O90" i="1" s="1"/>
  <c r="R50" i="1"/>
  <c r="R73" i="1" s="1"/>
  <c r="P59" i="1"/>
  <c r="P82" i="1" s="1"/>
  <c r="O64" i="1"/>
  <c r="O87" i="1" s="1"/>
  <c r="O91" i="1" l="1"/>
  <c r="U66" i="1"/>
  <c r="T89" i="1"/>
  <c r="T77" i="1"/>
  <c r="U54" i="1"/>
  <c r="U63" i="1"/>
  <c r="T86" i="1"/>
  <c r="S57" i="1"/>
  <c r="S80" i="1" s="1"/>
  <c r="P64" i="1"/>
  <c r="P87" i="1" s="1"/>
  <c r="Q59" i="1"/>
  <c r="Q82" i="1" s="1"/>
  <c r="S50" i="1"/>
  <c r="S73" i="1" s="1"/>
  <c r="P67" i="1"/>
  <c r="P90" i="1" s="1"/>
  <c r="P91" i="1" s="1"/>
  <c r="R61" i="1"/>
  <c r="R84" i="1" s="1"/>
  <c r="V63" i="1" l="1"/>
  <c r="V86" i="1" s="1"/>
  <c r="U86" i="1"/>
  <c r="U77" i="1"/>
  <c r="V54" i="1"/>
  <c r="V77" i="1" s="1"/>
  <c r="V66" i="1"/>
  <c r="V89" i="1" s="1"/>
  <c r="U89" i="1"/>
  <c r="S61" i="1"/>
  <c r="S84" i="1" s="1"/>
  <c r="Q67" i="1"/>
  <c r="Q90" i="1" s="1"/>
  <c r="T50" i="1"/>
  <c r="T73" i="1" s="1"/>
  <c r="R59" i="1"/>
  <c r="R82" i="1" s="1"/>
  <c r="Q64" i="1"/>
  <c r="Q87" i="1" s="1"/>
  <c r="T57" i="1"/>
  <c r="T80" i="1" s="1"/>
  <c r="Q91" i="1" l="1"/>
  <c r="U57" i="1"/>
  <c r="U80" i="1" s="1"/>
  <c r="R64" i="1"/>
  <c r="R87" i="1" s="1"/>
  <c r="S59" i="1"/>
  <c r="S82" i="1" s="1"/>
  <c r="U50" i="1"/>
  <c r="U73" i="1" s="1"/>
  <c r="R67" i="1"/>
  <c r="R90" i="1" s="1"/>
  <c r="R91" i="1" s="1"/>
  <c r="T61" i="1"/>
  <c r="T84" i="1" s="1"/>
  <c r="U61" i="1" l="1"/>
  <c r="U84" i="1" s="1"/>
  <c r="S67" i="1"/>
  <c r="S90" i="1" s="1"/>
  <c r="V50" i="1"/>
  <c r="V73" i="1" s="1"/>
  <c r="T59" i="1"/>
  <c r="T82" i="1" s="1"/>
  <c r="S64" i="1"/>
  <c r="S87" i="1" s="1"/>
  <c r="V57" i="1"/>
  <c r="V80" i="1" s="1"/>
  <c r="S91" i="1" l="1"/>
  <c r="V61" i="1"/>
  <c r="V84" i="1" s="1"/>
  <c r="T64" i="1"/>
  <c r="T87" i="1" s="1"/>
  <c r="U59" i="1"/>
  <c r="U82" i="1" s="1"/>
  <c r="T67" i="1"/>
  <c r="T90" i="1" s="1"/>
  <c r="T91" i="1" l="1"/>
  <c r="U67" i="1"/>
  <c r="U90" i="1" s="1"/>
  <c r="V59" i="1"/>
  <c r="V82" i="1" s="1"/>
  <c r="U64" i="1"/>
  <c r="U87" i="1" s="1"/>
  <c r="U91" i="1" l="1"/>
  <c r="V67" i="1"/>
  <c r="V90" i="1" s="1"/>
  <c r="V91" i="1" s="1"/>
  <c r="V64" i="1"/>
  <c r="V87" i="1" s="1"/>
</calcChain>
</file>

<file path=xl/sharedStrings.xml><?xml version="1.0" encoding="utf-8"?>
<sst xmlns="http://schemas.openxmlformats.org/spreadsheetml/2006/main" count="423" uniqueCount="131">
  <si>
    <t>Albania</t>
  </si>
  <si>
    <t>Armenia</t>
  </si>
  <si>
    <t>Azerbaijan</t>
  </si>
  <si>
    <t>Bosnia and Herzegovina</t>
  </si>
  <si>
    <t>Bulgaria</t>
  </si>
  <si>
    <t>Croatia</t>
  </si>
  <si>
    <t>Czech Republic</t>
  </si>
  <si>
    <t>Estonia</t>
  </si>
  <si>
    <t>Georgia</t>
  </si>
  <si>
    <t>Hungary</t>
  </si>
  <si>
    <t>Latvia</t>
  </si>
  <si>
    <t>Lithuania</t>
  </si>
  <si>
    <t>Moldova</t>
  </si>
  <si>
    <t>Montenegro</t>
  </si>
  <si>
    <t xml:space="preserve">North Macedonia </t>
  </si>
  <si>
    <t>Poland</t>
  </si>
  <si>
    <t>Romania</t>
  </si>
  <si>
    <t>Serbia</t>
  </si>
  <si>
    <t>Slovak Republic</t>
  </si>
  <si>
    <t>Slovenia</t>
  </si>
  <si>
    <t>GDP, current prices (Billions of U.S. dollars)</t>
  </si>
  <si>
    <t>Real GDP growth (Annual percent change)</t>
  </si>
  <si>
    <t>POPULATION</t>
  </si>
  <si>
    <t>ABIA</t>
  </si>
  <si>
    <t>ARMN</t>
  </si>
  <si>
    <t>AZER</t>
  </si>
  <si>
    <t>BSHE</t>
  </si>
  <si>
    <t>BIH</t>
  </si>
  <si>
    <t>BULG</t>
  </si>
  <si>
    <t>BGR</t>
  </si>
  <si>
    <t>CRTA</t>
  </si>
  <si>
    <t>HRV</t>
  </si>
  <si>
    <t>CZEC</t>
  </si>
  <si>
    <t>ESTO</t>
  </si>
  <si>
    <t>GEOG</t>
  </si>
  <si>
    <t>HNGY</t>
  </si>
  <si>
    <t>LATV</t>
  </si>
  <si>
    <t>LVA</t>
  </si>
  <si>
    <t>LITH</t>
  </si>
  <si>
    <t>LTU</t>
  </si>
  <si>
    <t>Macedonia</t>
  </si>
  <si>
    <t>MCDN</t>
  </si>
  <si>
    <t>MKD</t>
  </si>
  <si>
    <t>MLDV</t>
  </si>
  <si>
    <t>MDA</t>
  </si>
  <si>
    <t>MNTN</t>
  </si>
  <si>
    <t>MNE</t>
  </si>
  <si>
    <t>PNDO</t>
  </si>
  <si>
    <t>ROMA</t>
  </si>
  <si>
    <t>ROU</t>
  </si>
  <si>
    <t>SERB</t>
  </si>
  <si>
    <t>SRB</t>
  </si>
  <si>
    <t>Slovakia</t>
  </si>
  <si>
    <t>SLVK</t>
  </si>
  <si>
    <t>SVK</t>
  </si>
  <si>
    <t>SLVN</t>
  </si>
  <si>
    <t>SVN</t>
  </si>
  <si>
    <t>TOTAL</t>
  </si>
  <si>
    <t>Seats</t>
  </si>
  <si>
    <t>Seats per capita</t>
  </si>
  <si>
    <t>Indexation</t>
  </si>
  <si>
    <t>Real GDP (Constant 2010 prices)</t>
  </si>
  <si>
    <t>Austria</t>
  </si>
  <si>
    <t>Belgium</t>
  </si>
  <si>
    <t>Denmark</t>
  </si>
  <si>
    <t>Finland</t>
  </si>
  <si>
    <t>France</t>
  </si>
  <si>
    <t>Germany</t>
  </si>
  <si>
    <t>Greece</t>
  </si>
  <si>
    <t>Ireland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</si>
  <si>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</si>
  <si>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</si>
  <si>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</si>
  <si>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</si>
  <si>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</si>
  <si>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</si>
  <si>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</si>
  <si>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</si>
  <si>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</si>
  <si>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</si>
  <si>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ARIA</t>
  </si>
  <si>
    <t>AUS</t>
  </si>
  <si>
    <t>ARIATBSP Index</t>
  </si>
  <si>
    <t>BELG</t>
  </si>
  <si>
    <t>BEL</t>
  </si>
  <si>
    <t>BELGTBSP Index</t>
  </si>
  <si>
    <t>DENM</t>
  </si>
  <si>
    <t>DEN</t>
  </si>
  <si>
    <t>DENMTBSP Index</t>
  </si>
  <si>
    <t>FINL</t>
  </si>
  <si>
    <t>BLR</t>
  </si>
  <si>
    <t>FINLTBSP Index</t>
  </si>
  <si>
    <t>FRNC</t>
  </si>
  <si>
    <t>FRNCTBSP Index</t>
  </si>
  <si>
    <t>GERM</t>
  </si>
  <si>
    <t>GERMTBSP Index</t>
  </si>
  <si>
    <t>RGCE</t>
  </si>
  <si>
    <t>RGCETBSP Index</t>
  </si>
  <si>
    <t>IRLD</t>
  </si>
  <si>
    <t>IRE</t>
  </si>
  <si>
    <t>IRLDTBSP Index</t>
  </si>
  <si>
    <t>ITAL</t>
  </si>
  <si>
    <t>ITA</t>
  </si>
  <si>
    <t>ITALTBSP Index</t>
  </si>
  <si>
    <t>LUXE</t>
  </si>
  <si>
    <t>LUX</t>
  </si>
  <si>
    <t>LUXETBSP Index</t>
  </si>
  <si>
    <t>MALT</t>
  </si>
  <si>
    <t>MAL</t>
  </si>
  <si>
    <t>MALTTBSP Index</t>
  </si>
  <si>
    <t>NTHR</t>
  </si>
  <si>
    <t>NTHRTBSP Index</t>
  </si>
  <si>
    <t>NOWY</t>
  </si>
  <si>
    <t>NOWYTBSP Index</t>
  </si>
  <si>
    <t>PTGL</t>
  </si>
  <si>
    <t>PTGLTBSP Index</t>
  </si>
  <si>
    <t>SPAI</t>
  </si>
  <si>
    <t>SPAITBSP Index</t>
  </si>
  <si>
    <t>SWED</t>
  </si>
  <si>
    <t>SWEDTBSP Index</t>
  </si>
  <si>
    <t>SWTZ</t>
  </si>
  <si>
    <t>SWI</t>
  </si>
  <si>
    <t>SWTZTBSP Index</t>
  </si>
  <si>
    <t>UNKI</t>
  </si>
  <si>
    <t>UNKITBSP Index</t>
  </si>
  <si>
    <t>2010-2015 growth</t>
  </si>
  <si>
    <t>GDP per capita</t>
  </si>
  <si>
    <t>2010-2025 growth</t>
  </si>
  <si>
    <t>2025 - 2030 growth</t>
  </si>
  <si>
    <t>Seat growth</t>
  </si>
  <si>
    <t>real GDP 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</si>
</sst>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#,##0.0_);\(#,##0.0\)"/>
    <numFmt numFmtId="168" formatCode="0.0%"/>
    <numFmt numFmtId="169" formatCode="#,##0.0%_);\(#,##0.0%\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9" fillId="0" borderId="0"/>
    <xf numFmtId="0" fontId="1" fillId="0" borderId="0"/>
    <xf numFmtId="9" fontId="1" fillId="0" borderId="0" applyFont="0" applyFill="0" applyBorder="0" applyAlignment="0" applyProtection="0"/>
  </cellStyleXfs>
  <cellXfs count="28">
    <xf numFmtId="0" fontId="0" fillId="0" borderId="0" xfId="0"/>
    <xf numFmtId="165" fontId="0" fillId="0" borderId="0" xfId="0" applyNumberFormat="1"/>
    <xf numFmtId="0" fontId="3" fillId="2" borderId="0" xfId="2" applyFont="1" applyFill="1"/>
    <xf numFmtId="0" fontId="4" fillId="0" borderId="0" xfId="2" applyFont="1"/>
    <xf numFmtId="14" fontId="4" fillId="0" borderId="0" xfId="2" applyNumberFormat="1" applyFont="1" applyAlignment="1">
      <alignment horizontal="center"/>
    </xf>
    <xf numFmtId="0" fontId="2" fillId="0" borderId="0" xfId="2"/>
    <xf numFmtId="3" fontId="2" fillId="0" borderId="0" xfId="2" applyNumberFormat="1" applyAlignment="1">
      <alignment horizontal="center"/>
    </xf>
    <xf numFmtId="0" fontId="5" fillId="0" borderId="0" xfId="0" applyFont="1"/>
    <xf numFmtId="3" fontId="4" fillId="0" borderId="0" xfId="2" applyNumberFormat="1" applyFont="1" applyAlignment="1">
      <alignment horizontal="center"/>
    </xf>
    <xf numFmtId="166" fontId="0" fillId="0" borderId="0" xfId="1" applyNumberFormat="1" applyFont="1"/>
    <xf numFmtId="164" fontId="0" fillId="0" borderId="0" xfId="0" applyNumberFormat="1"/>
    <xf numFmtId="0" fontId="6" fillId="0" borderId="0" xfId="0" applyFont="1"/>
    <xf numFmtId="0" fontId="4" fillId="0" borderId="0" xfId="1" applyNumberFormat="1" applyFont="1" applyFill="1" applyAlignment="1">
      <alignment horizontal="center"/>
    </xf>
    <xf numFmtId="0" fontId="4" fillId="0" borderId="0" xfId="2" applyFont="1" applyAlignment="1">
      <alignment horizontal="center"/>
    </xf>
    <xf numFmtId="167" fontId="0" fillId="0" borderId="0" xfId="0" applyNumberFormat="1"/>
    <xf numFmtId="0" fontId="8" fillId="0" borderId="0" xfId="3" applyFont="1"/>
    <xf numFmtId="0" fontId="7" fillId="0" borderId="0" xfId="3"/>
    <xf numFmtId="37" fontId="2" fillId="0" borderId="0" xfId="2" applyNumberFormat="1" applyAlignment="1">
      <alignment horizontal="right"/>
    </xf>
    <xf numFmtId="37" fontId="0" fillId="0" borderId="0" xfId="0" applyNumberFormat="1" applyAlignment="1">
      <alignment horizontal="right"/>
    </xf>
    <xf numFmtId="167" fontId="6" fillId="0" borderId="0" xfId="0" applyNumberFormat="1" applyFont="1"/>
    <xf numFmtId="37" fontId="6" fillId="0" borderId="0" xfId="0" applyNumberFormat="1" applyFont="1"/>
    <xf numFmtId="168" fontId="0" fillId="0" borderId="0" xfId="8" applyNumberFormat="1" applyFont="1"/>
    <xf numFmtId="14" fontId="0" fillId="0" borderId="0" xfId="0" applyNumberFormat="1"/>
    <xf numFmtId="169" fontId="0" fillId="0" borderId="0" xfId="0" applyNumberFormat="1"/>
    <xf numFmtId="166" fontId="6" fillId="0" borderId="0" xfId="1" applyNumberFormat="1" applyFont="1"/>
    <xf numFmtId="169" fontId="6" fillId="0" borderId="0" xfId="1" applyNumberFormat="1" applyFont="1"/>
    <xf numFmtId="164" fontId="4" fillId="0" borderId="0" xfId="1" applyFont="1" applyFill="1" applyAlignment="1">
      <alignment horizontal="center"/>
    </xf>
    <xf numFmtId="37" fontId="2" fillId="0" borderId="0" xfId="2" applyNumberFormat="1" applyFont="1" applyAlignment="1">
      <alignment horizontal="right"/>
    </xf>
  </cellXfs>
  <cellStyles count="9">
    <cellStyle name="Comma 2" xfId="4" xr:uid="{2BE53AEC-1A83-4704-805E-AFC6AE3C1663}"/>
    <cellStyle name="Millares" xfId="1" builtinId="3"/>
    <cellStyle name="Normal" xfId="0" builtinId="0"/>
    <cellStyle name="Normal 2" xfId="2" xr:uid="{CAC9D50F-5935-48AD-891D-62ECE12D0C45}"/>
    <cellStyle name="Normal 3" xfId="6" xr:uid="{C57DA404-ADC8-4D9C-AC7B-FBE659FBDA83}"/>
    <cellStyle name="Normal 4" xfId="7" xr:uid="{34A4BC7A-9B83-49E8-BAC0-F6C373D5B987}"/>
    <cellStyle name="Normal 5" xfId="3" xr:uid="{F2149C38-F2F3-4FDB-A24B-D0EA62808E9F}"/>
    <cellStyle name="Percent 2" xfId="5" xr:uid="{6EE11CD2-8D3E-49D3-A51E-ACFA8C6A3BE5}"/>
    <cellStyle name="Porcentaje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F006354-291E-4C1F-B79B-A0F8A727DFE4}">
  <we:reference id="wa200006804" version="1.0.0.3" store="en-US" storeType="OMEX"/>
  <we:alternateReferences>
    <we:reference id="WA200006804" version="1.0.0.3" store="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C6A93-E809-405C-8639-0CFC7445F986}">
  <dimension ref="A1:X93"/>
  <sheetViews>
    <sheetView topLeftCell="A58" zoomScale="70" zoomScaleNormal="70" workbookViewId="0">
      <selection activeCell="I86" sqref="I86"/>
    </sheetView>
  </sheetViews>
  <sheetFormatPr baseColWidth="10" defaultColWidth="8.88671875" defaultRowHeight="14.4" x14ac:dyDescent="0.3"/>
  <cols>
    <col min="1" max="1" width="39" bestFit="1" customWidth="1"/>
  </cols>
  <sheetData>
    <row r="1" spans="1:22" x14ac:dyDescent="0.3">
      <c r="A1" s="11" t="s">
        <v>20</v>
      </c>
      <c r="B1" s="11">
        <v>2010</v>
      </c>
      <c r="C1" s="11">
        <v>2011</v>
      </c>
      <c r="D1" s="11">
        <v>2012</v>
      </c>
      <c r="E1" s="11">
        <v>2013</v>
      </c>
      <c r="F1" s="11">
        <v>2014</v>
      </c>
      <c r="G1" s="11">
        <v>2015</v>
      </c>
      <c r="H1" s="11">
        <v>2016</v>
      </c>
      <c r="I1" s="11">
        <v>2017</v>
      </c>
      <c r="J1" s="11">
        <v>2018</v>
      </c>
      <c r="K1" s="11">
        <v>2019</v>
      </c>
      <c r="L1" s="11">
        <v>2020</v>
      </c>
      <c r="M1" s="11">
        <v>2021</v>
      </c>
      <c r="N1" s="11">
        <v>2022</v>
      </c>
      <c r="O1" s="11">
        <v>2023</v>
      </c>
      <c r="P1" s="11">
        <v>2024</v>
      </c>
      <c r="Q1" s="11">
        <v>2025</v>
      </c>
      <c r="R1" s="11">
        <v>2026</v>
      </c>
      <c r="S1" s="11">
        <v>2027</v>
      </c>
      <c r="T1" s="11">
        <v>2028</v>
      </c>
      <c r="U1" s="11">
        <v>2029</v>
      </c>
      <c r="V1" s="11">
        <v>2030</v>
      </c>
    </row>
    <row r="2" spans="1:22" x14ac:dyDescent="0.3">
      <c r="A2" t="s">
        <v>0</v>
      </c>
      <c r="B2" s="1">
        <v>11.936999999999999</v>
      </c>
      <c r="C2" s="1">
        <v>12.898999999999999</v>
      </c>
      <c r="D2" s="1">
        <v>12.324</v>
      </c>
      <c r="E2" s="1">
        <v>12.784000000000001</v>
      </c>
      <c r="F2" s="1">
        <v>13.246</v>
      </c>
      <c r="G2" s="1">
        <v>11.388999999999999</v>
      </c>
      <c r="H2" s="1">
        <v>11.862</v>
      </c>
      <c r="I2" s="1">
        <v>13.053000000000001</v>
      </c>
      <c r="J2" s="1">
        <v>15.38</v>
      </c>
      <c r="K2" s="1">
        <v>15.582000000000001</v>
      </c>
      <c r="L2" s="1">
        <v>15.271000000000001</v>
      </c>
      <c r="M2" s="1">
        <v>17.984999999999999</v>
      </c>
      <c r="N2" s="1">
        <v>19.189</v>
      </c>
      <c r="O2" s="1">
        <v>23.632999999999999</v>
      </c>
      <c r="P2" s="1">
        <v>27.084</v>
      </c>
      <c r="Q2" s="1">
        <v>29.939</v>
      </c>
      <c r="R2" s="1">
        <v>32.411000000000001</v>
      </c>
      <c r="S2" s="1">
        <v>34.207999999999998</v>
      </c>
      <c r="T2" s="1">
        <v>36.357999999999997</v>
      </c>
      <c r="U2" s="1">
        <v>38.656999999999996</v>
      </c>
      <c r="V2" s="1">
        <v>41.115000000000002</v>
      </c>
    </row>
    <row r="3" spans="1:22" x14ac:dyDescent="0.3">
      <c r="A3" t="s">
        <v>1</v>
      </c>
      <c r="B3" s="1">
        <v>9.26</v>
      </c>
      <c r="C3" s="1">
        <v>10.141999999999999</v>
      </c>
      <c r="D3" s="1">
        <v>10.619</v>
      </c>
      <c r="E3" s="1">
        <v>11.121</v>
      </c>
      <c r="F3" s="1">
        <v>11.61</v>
      </c>
      <c r="G3" s="1">
        <v>10.553000000000001</v>
      </c>
      <c r="H3" s="1">
        <v>10.545999999999999</v>
      </c>
      <c r="I3" s="1">
        <v>11.526999999999999</v>
      </c>
      <c r="J3" s="1">
        <v>12.458</v>
      </c>
      <c r="K3" s="1">
        <v>13.619</v>
      </c>
      <c r="L3" s="1">
        <v>12.641999999999999</v>
      </c>
      <c r="M3" s="1">
        <v>13.879</v>
      </c>
      <c r="N3" s="1">
        <v>19.513999999999999</v>
      </c>
      <c r="O3" s="1">
        <v>24.186</v>
      </c>
      <c r="P3" s="1">
        <v>25.954999999999998</v>
      </c>
      <c r="Q3" s="1">
        <v>27.859000000000002</v>
      </c>
      <c r="R3" s="1">
        <v>29.082000000000001</v>
      </c>
      <c r="S3" s="1">
        <v>31.454000000000001</v>
      </c>
      <c r="T3" s="1">
        <v>33.676000000000002</v>
      </c>
      <c r="U3" s="1">
        <v>35.933999999999997</v>
      </c>
      <c r="V3" s="1">
        <v>38.387999999999998</v>
      </c>
    </row>
    <row r="4" spans="1:22" x14ac:dyDescent="0.3">
      <c r="A4" t="s">
        <v>2</v>
      </c>
      <c r="B4" s="1">
        <v>52.908999999999999</v>
      </c>
      <c r="C4" s="1">
        <v>65.951999999999998</v>
      </c>
      <c r="D4" s="1">
        <v>69.683999999999997</v>
      </c>
      <c r="E4" s="1">
        <v>74.164000000000001</v>
      </c>
      <c r="F4" s="1">
        <v>75.234999999999999</v>
      </c>
      <c r="G4" s="1">
        <v>52.997</v>
      </c>
      <c r="H4" s="1">
        <v>37.83</v>
      </c>
      <c r="I4" s="1">
        <v>41.375</v>
      </c>
      <c r="J4" s="1">
        <v>47.113</v>
      </c>
      <c r="K4" s="1">
        <v>48.173999999999999</v>
      </c>
      <c r="L4" s="1">
        <v>42.692999999999998</v>
      </c>
      <c r="M4" s="1">
        <v>54.825000000000003</v>
      </c>
      <c r="N4" s="1">
        <v>78.807000000000002</v>
      </c>
      <c r="O4" s="1">
        <v>72.427999999999997</v>
      </c>
      <c r="P4" s="1">
        <v>74.316000000000003</v>
      </c>
      <c r="Q4" s="1">
        <v>76.39</v>
      </c>
      <c r="R4" s="1">
        <v>80.024000000000001</v>
      </c>
      <c r="S4" s="1">
        <v>84.546999999999997</v>
      </c>
      <c r="T4" s="1">
        <v>89.614999999999995</v>
      </c>
      <c r="U4" s="1">
        <v>95.052000000000007</v>
      </c>
      <c r="V4" s="1">
        <v>100.82299999999999</v>
      </c>
    </row>
    <row r="5" spans="1:22" x14ac:dyDescent="0.3">
      <c r="A5" t="s">
        <v>3</v>
      </c>
      <c r="B5" s="1">
        <v>17.207000000000001</v>
      </c>
      <c r="C5" s="1">
        <v>18.664999999999999</v>
      </c>
      <c r="D5" s="1">
        <v>17.236999999999998</v>
      </c>
      <c r="E5" s="1">
        <v>18.184000000000001</v>
      </c>
      <c r="F5" s="1">
        <v>18.588000000000001</v>
      </c>
      <c r="G5" s="1">
        <v>16.413</v>
      </c>
      <c r="H5" s="1">
        <v>17.123999999999999</v>
      </c>
      <c r="I5" s="1">
        <v>18.363</v>
      </c>
      <c r="J5" s="1">
        <v>20.504000000000001</v>
      </c>
      <c r="K5" s="1">
        <v>20.484999999999999</v>
      </c>
      <c r="L5" s="1">
        <v>20.263999999999999</v>
      </c>
      <c r="M5" s="1">
        <v>23.687999999999999</v>
      </c>
      <c r="N5" s="1">
        <v>24.581</v>
      </c>
      <c r="O5" s="1">
        <v>27.606000000000002</v>
      </c>
      <c r="P5" s="1">
        <v>29.614000000000001</v>
      </c>
      <c r="Q5" s="1">
        <v>33.237000000000002</v>
      </c>
      <c r="R5" s="1">
        <v>36.238999999999997</v>
      </c>
      <c r="S5" s="1">
        <v>38.082000000000001</v>
      </c>
      <c r="T5" s="1">
        <v>40.003999999999998</v>
      </c>
      <c r="U5" s="1">
        <v>42.005000000000003</v>
      </c>
      <c r="V5" s="1">
        <v>44.106000000000002</v>
      </c>
    </row>
    <row r="6" spans="1:22" x14ac:dyDescent="0.3">
      <c r="A6" t="s">
        <v>4</v>
      </c>
      <c r="B6" s="1">
        <v>50.69</v>
      </c>
      <c r="C6" s="1">
        <v>57.682000000000002</v>
      </c>
      <c r="D6" s="1">
        <v>54.296999999999997</v>
      </c>
      <c r="E6" s="1">
        <v>55.82</v>
      </c>
      <c r="F6" s="1">
        <v>57.081000000000003</v>
      </c>
      <c r="G6" s="1">
        <v>50.765999999999998</v>
      </c>
      <c r="H6" s="1">
        <v>53.929000000000002</v>
      </c>
      <c r="I6" s="1">
        <v>59.287999999999997</v>
      </c>
      <c r="J6" s="1">
        <v>66.317999999999998</v>
      </c>
      <c r="K6" s="1">
        <v>68.638999999999996</v>
      </c>
      <c r="L6" s="1">
        <v>70.658000000000001</v>
      </c>
      <c r="M6" s="1">
        <v>84.477000000000004</v>
      </c>
      <c r="N6" s="1">
        <v>90.718999999999994</v>
      </c>
      <c r="O6" s="1">
        <v>102.434</v>
      </c>
      <c r="P6" s="1">
        <v>112.232</v>
      </c>
      <c r="Q6" s="1">
        <v>127.92400000000001</v>
      </c>
      <c r="R6" s="1">
        <v>142.203</v>
      </c>
      <c r="S6" s="1">
        <v>151.08099999999999</v>
      </c>
      <c r="T6" s="1">
        <v>159.77199999999999</v>
      </c>
      <c r="U6" s="1">
        <v>168.285</v>
      </c>
      <c r="V6" s="1">
        <v>177.26</v>
      </c>
    </row>
    <row r="7" spans="1:22" x14ac:dyDescent="0.3">
      <c r="A7" t="s">
        <v>5</v>
      </c>
      <c r="B7" s="1">
        <v>59.031999999999996</v>
      </c>
      <c r="C7" s="1">
        <v>62.889000000000003</v>
      </c>
      <c r="D7" s="1">
        <v>57.585000000000001</v>
      </c>
      <c r="E7" s="1">
        <v>59.853999999999999</v>
      </c>
      <c r="F7" s="1">
        <v>59.628</v>
      </c>
      <c r="G7" s="1">
        <v>51.012</v>
      </c>
      <c r="H7" s="1">
        <v>52.64</v>
      </c>
      <c r="I7" s="1">
        <v>56.165999999999997</v>
      </c>
      <c r="J7" s="1">
        <v>61.694000000000003</v>
      </c>
      <c r="K7" s="1">
        <v>61.472000000000001</v>
      </c>
      <c r="L7" s="1">
        <v>57.918999999999997</v>
      </c>
      <c r="M7" s="1">
        <v>69.055000000000007</v>
      </c>
      <c r="N7" s="1">
        <v>71.260000000000005</v>
      </c>
      <c r="O7" s="1">
        <v>84.429000000000002</v>
      </c>
      <c r="P7" s="1">
        <v>92.643000000000001</v>
      </c>
      <c r="Q7" s="1">
        <v>103.901</v>
      </c>
      <c r="R7" s="1">
        <v>113.13200000000001</v>
      </c>
      <c r="S7" s="1">
        <v>118.4</v>
      </c>
      <c r="T7" s="1">
        <v>123.879</v>
      </c>
      <c r="U7" s="1">
        <v>129.666</v>
      </c>
      <c r="V7" s="1">
        <v>135.72499999999999</v>
      </c>
    </row>
    <row r="8" spans="1:22" x14ac:dyDescent="0.3">
      <c r="A8" t="s">
        <v>6</v>
      </c>
      <c r="B8" s="1">
        <v>211.16900000000001</v>
      </c>
      <c r="C8" s="1">
        <v>231.429</v>
      </c>
      <c r="D8" s="1">
        <v>210.363</v>
      </c>
      <c r="E8" s="1">
        <v>213.024</v>
      </c>
      <c r="F8" s="1">
        <v>210.911</v>
      </c>
      <c r="G8" s="1">
        <v>189.108</v>
      </c>
      <c r="H8" s="1">
        <v>198.161</v>
      </c>
      <c r="I8" s="1">
        <v>221.56399999999999</v>
      </c>
      <c r="J8" s="1">
        <v>251.99199999999999</v>
      </c>
      <c r="K8" s="1">
        <v>256.79399999999998</v>
      </c>
      <c r="L8" s="1">
        <v>251.11</v>
      </c>
      <c r="M8" s="1">
        <v>290.97300000000001</v>
      </c>
      <c r="N8" s="1">
        <v>301.83100000000002</v>
      </c>
      <c r="O8" s="1">
        <v>345.05900000000003</v>
      </c>
      <c r="P8" s="1">
        <v>347.03399999999999</v>
      </c>
      <c r="Q8" s="1">
        <v>383.38400000000001</v>
      </c>
      <c r="R8" s="1">
        <v>417.13400000000001</v>
      </c>
      <c r="S8" s="1">
        <v>433.435</v>
      </c>
      <c r="T8" s="1">
        <v>450.45</v>
      </c>
      <c r="U8" s="1">
        <v>467.64400000000001</v>
      </c>
      <c r="V8" s="1">
        <v>485.67500000000001</v>
      </c>
    </row>
    <row r="9" spans="1:22" x14ac:dyDescent="0.3">
      <c r="A9" t="s">
        <v>7</v>
      </c>
      <c r="B9" s="1">
        <v>19.568999999999999</v>
      </c>
      <c r="C9" s="1">
        <v>23.3</v>
      </c>
      <c r="D9" s="1">
        <v>23.251999999999999</v>
      </c>
      <c r="E9" s="1">
        <v>25.451000000000001</v>
      </c>
      <c r="F9" s="1">
        <v>27.062999999999999</v>
      </c>
      <c r="G9" s="1">
        <v>23.314</v>
      </c>
      <c r="H9" s="1">
        <v>24.553999999999998</v>
      </c>
      <c r="I9" s="1">
        <v>27.46</v>
      </c>
      <c r="J9" s="1">
        <v>31.236999999999998</v>
      </c>
      <c r="K9" s="1">
        <v>31.876999999999999</v>
      </c>
      <c r="L9" s="1">
        <v>31.795000000000002</v>
      </c>
      <c r="M9" s="1">
        <v>37.225999999999999</v>
      </c>
      <c r="N9" s="1">
        <v>38.256999999999998</v>
      </c>
      <c r="O9" s="1">
        <v>41.481999999999999</v>
      </c>
      <c r="P9" s="1">
        <v>43.116999999999997</v>
      </c>
      <c r="Q9" s="1">
        <v>46.762999999999998</v>
      </c>
      <c r="R9" s="1">
        <v>51.036000000000001</v>
      </c>
      <c r="S9" s="1">
        <v>53.619</v>
      </c>
      <c r="T9" s="1">
        <v>56.106000000000002</v>
      </c>
      <c r="U9" s="1">
        <v>58.686999999999998</v>
      </c>
      <c r="V9" s="1">
        <v>61.302</v>
      </c>
    </row>
    <row r="10" spans="1:22" x14ac:dyDescent="0.3">
      <c r="A10" t="s">
        <v>8</v>
      </c>
      <c r="B10" s="1">
        <v>12.425000000000001</v>
      </c>
      <c r="C10" s="1">
        <v>15.475</v>
      </c>
      <c r="D10" s="1">
        <v>16.893999999999998</v>
      </c>
      <c r="E10" s="1">
        <v>17.515999999999998</v>
      </c>
      <c r="F10" s="1">
        <v>17.966000000000001</v>
      </c>
      <c r="G10" s="1">
        <v>15.223000000000001</v>
      </c>
      <c r="H10" s="1">
        <v>15.445</v>
      </c>
      <c r="I10" s="1">
        <v>16.472000000000001</v>
      </c>
      <c r="J10" s="1">
        <v>17.905000000000001</v>
      </c>
      <c r="K10" s="1">
        <v>17.645</v>
      </c>
      <c r="L10" s="1">
        <v>16.013000000000002</v>
      </c>
      <c r="M10" s="1">
        <v>18.849</v>
      </c>
      <c r="N10" s="1">
        <v>24.984999999999999</v>
      </c>
      <c r="O10" s="1">
        <v>30.777999999999999</v>
      </c>
      <c r="P10" s="1">
        <v>33.774999999999999</v>
      </c>
      <c r="Q10" s="1">
        <v>37.402999999999999</v>
      </c>
      <c r="R10" s="1">
        <v>40.177</v>
      </c>
      <c r="S10" s="1">
        <v>42.408000000000001</v>
      </c>
      <c r="T10" s="1">
        <v>44.722999999999999</v>
      </c>
      <c r="U10" s="1">
        <v>47.201999999999998</v>
      </c>
      <c r="V10" s="1">
        <v>49.802</v>
      </c>
    </row>
    <row r="11" spans="1:22" x14ac:dyDescent="0.3">
      <c r="A11" t="s">
        <v>9</v>
      </c>
      <c r="B11" s="1">
        <v>131.899</v>
      </c>
      <c r="C11" s="1">
        <v>141.71299999999999</v>
      </c>
      <c r="D11" s="1">
        <v>128.47</v>
      </c>
      <c r="E11" s="1">
        <v>135.64599999999999</v>
      </c>
      <c r="F11" s="1">
        <v>141.12899999999999</v>
      </c>
      <c r="G11" s="1">
        <v>125.244</v>
      </c>
      <c r="H11" s="1">
        <v>128.98400000000001</v>
      </c>
      <c r="I11" s="1">
        <v>143.33500000000001</v>
      </c>
      <c r="J11" s="1">
        <v>161.185</v>
      </c>
      <c r="K11" s="1">
        <v>164.92699999999999</v>
      </c>
      <c r="L11" s="1">
        <v>158.46799999999999</v>
      </c>
      <c r="M11" s="1">
        <v>183.28299999999999</v>
      </c>
      <c r="N11" s="1">
        <v>178.321</v>
      </c>
      <c r="O11" s="1">
        <v>214.09800000000001</v>
      </c>
      <c r="P11" s="1">
        <v>223.06</v>
      </c>
      <c r="Q11" s="1">
        <v>247.75899999999999</v>
      </c>
      <c r="R11" s="1">
        <v>269.916</v>
      </c>
      <c r="S11" s="1">
        <v>284.12200000000001</v>
      </c>
      <c r="T11" s="1">
        <v>298.58300000000003</v>
      </c>
      <c r="U11" s="1">
        <v>314.31099999999998</v>
      </c>
      <c r="V11" s="1">
        <v>331.12599999999998</v>
      </c>
    </row>
    <row r="12" spans="1:22" x14ac:dyDescent="0.3">
      <c r="A12" t="s">
        <v>10</v>
      </c>
      <c r="B12" s="1">
        <v>23.509</v>
      </c>
      <c r="C12" s="1">
        <v>26.832000000000001</v>
      </c>
      <c r="D12" s="1">
        <v>27.135999999999999</v>
      </c>
      <c r="E12" s="1">
        <v>29.157</v>
      </c>
      <c r="F12" s="1">
        <v>30.285</v>
      </c>
      <c r="G12" s="1">
        <v>26.347000000000001</v>
      </c>
      <c r="H12" s="1">
        <v>27.11</v>
      </c>
      <c r="I12" s="1">
        <v>29.381</v>
      </c>
      <c r="J12" s="1">
        <v>33.262999999999998</v>
      </c>
      <c r="K12" s="1">
        <v>33.103000000000002</v>
      </c>
      <c r="L12" s="1">
        <v>33.353000000000002</v>
      </c>
      <c r="M12" s="1">
        <v>38.209000000000003</v>
      </c>
      <c r="N12" s="1">
        <v>38.045000000000002</v>
      </c>
      <c r="O12" s="1">
        <v>42.584000000000003</v>
      </c>
      <c r="P12" s="1">
        <v>43.508000000000003</v>
      </c>
      <c r="Q12" s="1">
        <v>47.88</v>
      </c>
      <c r="R12" s="1">
        <v>52.247999999999998</v>
      </c>
      <c r="S12" s="1">
        <v>55.113999999999997</v>
      </c>
      <c r="T12" s="1">
        <v>57.86</v>
      </c>
      <c r="U12" s="1">
        <v>60.722000000000001</v>
      </c>
      <c r="V12" s="1">
        <v>63.664000000000001</v>
      </c>
    </row>
    <row r="13" spans="1:22" x14ac:dyDescent="0.3">
      <c r="A13" t="s">
        <v>11</v>
      </c>
      <c r="B13" s="1">
        <v>36.692999999999998</v>
      </c>
      <c r="C13" s="1">
        <v>43.201000000000001</v>
      </c>
      <c r="D13" s="1">
        <v>42.735999999999997</v>
      </c>
      <c r="E13" s="1">
        <v>46.320999999999998</v>
      </c>
      <c r="F13" s="1">
        <v>48.387999999999998</v>
      </c>
      <c r="G13" s="1">
        <v>41.548000000000002</v>
      </c>
      <c r="H13" s="1">
        <v>42.951999999999998</v>
      </c>
      <c r="I13" s="1">
        <v>47.744999999999997</v>
      </c>
      <c r="J13" s="1">
        <v>54.293999999999997</v>
      </c>
      <c r="K13" s="1">
        <v>55.131999999999998</v>
      </c>
      <c r="L13" s="1">
        <v>57.351999999999997</v>
      </c>
      <c r="M13" s="1">
        <v>67.067999999999998</v>
      </c>
      <c r="N13" s="1">
        <v>71.081999999999994</v>
      </c>
      <c r="O13" s="1">
        <v>79.823999999999998</v>
      </c>
      <c r="P13" s="1">
        <v>84.846999999999994</v>
      </c>
      <c r="Q13" s="1">
        <v>95.274000000000001</v>
      </c>
      <c r="R13" s="1">
        <v>104.651</v>
      </c>
      <c r="S13" s="1">
        <v>109.19199999999999</v>
      </c>
      <c r="T13" s="1">
        <v>114.33199999999999</v>
      </c>
      <c r="U13" s="1">
        <v>119.919</v>
      </c>
      <c r="V13" s="1">
        <v>125.875</v>
      </c>
    </row>
    <row r="14" spans="1:22" x14ac:dyDescent="0.3">
      <c r="A14" t="s">
        <v>12</v>
      </c>
      <c r="B14" s="1">
        <v>6.9770000000000003</v>
      </c>
      <c r="C14" s="1">
        <v>8.4169999999999998</v>
      </c>
      <c r="D14" s="1">
        <v>8.7080000000000002</v>
      </c>
      <c r="E14" s="1">
        <v>9.4960000000000004</v>
      </c>
      <c r="F14" s="1">
        <v>9.4019999999999992</v>
      </c>
      <c r="G14" s="1">
        <v>7.7779999999999996</v>
      </c>
      <c r="H14" s="1">
        <v>7.9809999999999999</v>
      </c>
      <c r="I14" s="1">
        <v>9.5150000000000006</v>
      </c>
      <c r="J14" s="1">
        <v>11.252000000000001</v>
      </c>
      <c r="K14" s="1">
        <v>11.737</v>
      </c>
      <c r="L14" s="1">
        <v>11.53</v>
      </c>
      <c r="M14" s="1">
        <v>13.694000000000001</v>
      </c>
      <c r="N14" s="1">
        <v>14.523999999999999</v>
      </c>
      <c r="O14" s="1">
        <v>16.710999999999999</v>
      </c>
      <c r="P14" s="1">
        <v>18.201000000000001</v>
      </c>
      <c r="Q14" s="1">
        <v>19.62</v>
      </c>
      <c r="R14" s="1">
        <v>21.024000000000001</v>
      </c>
      <c r="S14" s="1">
        <v>22.956</v>
      </c>
      <c r="T14" s="1">
        <v>25.114999999999998</v>
      </c>
      <c r="U14" s="1">
        <v>27.477</v>
      </c>
      <c r="V14" s="1">
        <v>30.003</v>
      </c>
    </row>
    <row r="15" spans="1:22" x14ac:dyDescent="0.3">
      <c r="A15" t="s">
        <v>13</v>
      </c>
      <c r="B15" s="1">
        <v>4.1399999999999997</v>
      </c>
      <c r="C15" s="1">
        <v>4.5060000000000002</v>
      </c>
      <c r="D15" s="1">
        <v>4.0739999999999998</v>
      </c>
      <c r="E15" s="1">
        <v>4.4219999999999997</v>
      </c>
      <c r="F15" s="1">
        <v>4.5810000000000004</v>
      </c>
      <c r="G15" s="1">
        <v>4.0110000000000001</v>
      </c>
      <c r="H15" s="1">
        <v>4.3559999999999999</v>
      </c>
      <c r="I15" s="1">
        <v>4.8019999999999996</v>
      </c>
      <c r="J15" s="1">
        <v>5.4359999999999999</v>
      </c>
      <c r="K15" s="1">
        <v>5.484</v>
      </c>
      <c r="L15" s="1">
        <v>4.7300000000000004</v>
      </c>
      <c r="M15" s="1">
        <v>5.827</v>
      </c>
      <c r="N15" s="1">
        <v>6.2649999999999997</v>
      </c>
      <c r="O15" s="1">
        <v>7.6459999999999999</v>
      </c>
      <c r="P15" s="1">
        <v>8.2720000000000002</v>
      </c>
      <c r="Q15" s="1">
        <v>9.3529999999999998</v>
      </c>
      <c r="R15" s="1">
        <v>10.228999999999999</v>
      </c>
      <c r="S15" s="1">
        <v>10.753</v>
      </c>
      <c r="T15" s="1">
        <v>11.282999999999999</v>
      </c>
      <c r="U15" s="1">
        <v>11.856999999999999</v>
      </c>
      <c r="V15" s="1">
        <v>12.451000000000001</v>
      </c>
    </row>
    <row r="16" spans="1:22" x14ac:dyDescent="0.3">
      <c r="A16" t="s">
        <v>14</v>
      </c>
      <c r="B16" s="1">
        <v>9.4149999999999991</v>
      </c>
      <c r="C16" s="1">
        <v>10.499000000000001</v>
      </c>
      <c r="D16" s="1">
        <v>9.7509999999999994</v>
      </c>
      <c r="E16" s="1">
        <v>10.824</v>
      </c>
      <c r="F16" s="1">
        <v>11.378</v>
      </c>
      <c r="G16" s="1">
        <v>10.067</v>
      </c>
      <c r="H16" s="1">
        <v>10.686</v>
      </c>
      <c r="I16" s="1">
        <v>11.336</v>
      </c>
      <c r="J16" s="1">
        <v>12.694000000000001</v>
      </c>
      <c r="K16" s="1">
        <v>12.609</v>
      </c>
      <c r="L16" s="1">
        <v>12.385</v>
      </c>
      <c r="M16" s="1">
        <v>14.007999999999999</v>
      </c>
      <c r="N16" s="1">
        <v>13.957000000000001</v>
      </c>
      <c r="O16" s="1">
        <v>15.772</v>
      </c>
      <c r="P16" s="1">
        <v>16.678999999999998</v>
      </c>
      <c r="Q16" s="1">
        <v>18.783000000000001</v>
      </c>
      <c r="R16" s="1">
        <v>20.751000000000001</v>
      </c>
      <c r="S16" s="1">
        <v>21.968</v>
      </c>
      <c r="T16" s="1">
        <v>23.062999999999999</v>
      </c>
      <c r="U16" s="1">
        <v>24.276</v>
      </c>
      <c r="V16" s="1">
        <v>25.523</v>
      </c>
    </row>
    <row r="17" spans="1:22" x14ac:dyDescent="0.3">
      <c r="A17" t="s">
        <v>15</v>
      </c>
      <c r="B17" s="1">
        <v>478.11099999999999</v>
      </c>
      <c r="C17" s="1">
        <v>527.84799999999996</v>
      </c>
      <c r="D17" s="1">
        <v>498.149</v>
      </c>
      <c r="E17" s="1">
        <v>518.17999999999995</v>
      </c>
      <c r="F17" s="1">
        <v>542.26599999999996</v>
      </c>
      <c r="G17" s="1">
        <v>479.72899999999998</v>
      </c>
      <c r="H17" s="1">
        <v>472.88299999999998</v>
      </c>
      <c r="I17" s="1">
        <v>528.49699999999996</v>
      </c>
      <c r="J17" s="1">
        <v>594.64099999999996</v>
      </c>
      <c r="K17" s="1">
        <v>602.59199999999998</v>
      </c>
      <c r="L17" s="1">
        <v>605.92999999999995</v>
      </c>
      <c r="M17" s="1">
        <v>689.25300000000004</v>
      </c>
      <c r="N17" s="1">
        <v>695.73400000000004</v>
      </c>
      <c r="O17" s="1">
        <v>812.95899999999995</v>
      </c>
      <c r="P17" s="1">
        <v>914.553</v>
      </c>
      <c r="Q17" s="1">
        <v>1039.6189999999999</v>
      </c>
      <c r="R17" s="1">
        <v>1109.962</v>
      </c>
      <c r="S17" s="1">
        <v>1174.2660000000001</v>
      </c>
      <c r="T17" s="1">
        <v>1243.528</v>
      </c>
      <c r="U17" s="1">
        <v>1313.4490000000001</v>
      </c>
      <c r="V17" s="1">
        <v>1386.3240000000001</v>
      </c>
    </row>
    <row r="18" spans="1:22" x14ac:dyDescent="0.3">
      <c r="A18" t="s">
        <v>16</v>
      </c>
      <c r="B18" s="1">
        <v>170.32900000000001</v>
      </c>
      <c r="C18" s="1">
        <v>192.846</v>
      </c>
      <c r="D18" s="1">
        <v>179.22800000000001</v>
      </c>
      <c r="E18" s="1">
        <v>189.839</v>
      </c>
      <c r="F18" s="1">
        <v>199.989</v>
      </c>
      <c r="G18" s="1">
        <v>177.87799999999999</v>
      </c>
      <c r="H18" s="1">
        <v>185.33699999999999</v>
      </c>
      <c r="I18" s="1">
        <v>210.53</v>
      </c>
      <c r="J18" s="1">
        <v>243.65100000000001</v>
      </c>
      <c r="K18" s="1">
        <v>251.65199999999999</v>
      </c>
      <c r="L18" s="1">
        <v>252.37200000000001</v>
      </c>
      <c r="M18" s="1">
        <v>286.78300000000002</v>
      </c>
      <c r="N18" s="1">
        <v>296.928</v>
      </c>
      <c r="O18" s="1">
        <v>350.84699999999998</v>
      </c>
      <c r="P18" s="1">
        <v>382.85399999999998</v>
      </c>
      <c r="Q18" s="1">
        <v>422.50799999999998</v>
      </c>
      <c r="R18" s="1">
        <v>444.80700000000002</v>
      </c>
      <c r="S18" s="1">
        <v>453.62799999999999</v>
      </c>
      <c r="T18" s="1">
        <v>466.22399999999999</v>
      </c>
      <c r="U18" s="1">
        <v>489.38</v>
      </c>
      <c r="V18" s="1">
        <v>514.34199999999998</v>
      </c>
    </row>
    <row r="19" spans="1:22" x14ac:dyDescent="0.3">
      <c r="A19" t="s">
        <v>17</v>
      </c>
      <c r="B19" s="1">
        <v>43.067</v>
      </c>
      <c r="C19" s="1">
        <v>51.274000000000001</v>
      </c>
      <c r="D19" s="1">
        <v>45.110999999999997</v>
      </c>
      <c r="E19" s="1">
        <v>50.456000000000003</v>
      </c>
      <c r="F19" s="1">
        <v>49.113999999999997</v>
      </c>
      <c r="G19" s="1">
        <v>41.296999999999997</v>
      </c>
      <c r="H19" s="1">
        <v>42.225000000000001</v>
      </c>
      <c r="I19" s="1">
        <v>45.972999999999999</v>
      </c>
      <c r="J19" s="1">
        <v>52.787999999999997</v>
      </c>
      <c r="K19" s="1">
        <v>53.865000000000002</v>
      </c>
      <c r="L19" s="1">
        <v>55.874000000000002</v>
      </c>
      <c r="M19" s="1">
        <v>65.83</v>
      </c>
      <c r="N19" s="1">
        <v>66.798000000000002</v>
      </c>
      <c r="O19" s="1">
        <v>81.343000000000004</v>
      </c>
      <c r="P19" s="1">
        <v>89.073999999999998</v>
      </c>
      <c r="Q19" s="1">
        <v>100.048</v>
      </c>
      <c r="R19" s="1">
        <v>112.108</v>
      </c>
      <c r="S19" s="1">
        <v>121.291</v>
      </c>
      <c r="T19" s="1">
        <v>129.52000000000001</v>
      </c>
      <c r="U19" s="1">
        <v>138.75899999999999</v>
      </c>
      <c r="V19" s="1">
        <v>148.70599999999999</v>
      </c>
    </row>
    <row r="20" spans="1:22" x14ac:dyDescent="0.3">
      <c r="A20" t="s">
        <v>18</v>
      </c>
      <c r="B20" s="1">
        <v>91.186000000000007</v>
      </c>
      <c r="C20" s="1">
        <v>99.686999999999998</v>
      </c>
      <c r="D20" s="1">
        <v>94.784000000000006</v>
      </c>
      <c r="E20" s="1">
        <v>99.135999999999996</v>
      </c>
      <c r="F20" s="1">
        <v>101.739</v>
      </c>
      <c r="G20" s="1">
        <v>89.186999999999998</v>
      </c>
      <c r="H20" s="1">
        <v>90.322000000000003</v>
      </c>
      <c r="I20" s="1">
        <v>95.944000000000003</v>
      </c>
      <c r="J20" s="1">
        <v>106.66</v>
      </c>
      <c r="K20" s="1">
        <v>105.855</v>
      </c>
      <c r="L20" s="1">
        <v>107.646</v>
      </c>
      <c r="M20" s="1">
        <v>120.64100000000001</v>
      </c>
      <c r="N20" s="1">
        <v>115.97499999999999</v>
      </c>
      <c r="O20" s="1">
        <v>133.93600000000001</v>
      </c>
      <c r="P20" s="1">
        <v>141.733</v>
      </c>
      <c r="Q20" s="1">
        <v>154.58699999999999</v>
      </c>
      <c r="R20" s="1">
        <v>167.73</v>
      </c>
      <c r="S20" s="1">
        <v>175.60499999999999</v>
      </c>
      <c r="T20" s="1">
        <v>183.73699999999999</v>
      </c>
      <c r="U20" s="1">
        <v>191.41</v>
      </c>
      <c r="V20" s="1">
        <v>199.114</v>
      </c>
    </row>
    <row r="21" spans="1:22" x14ac:dyDescent="0.3">
      <c r="A21" t="s">
        <v>19</v>
      </c>
      <c r="B21" s="1">
        <v>47.832000000000001</v>
      </c>
      <c r="C21" s="1">
        <v>51.19</v>
      </c>
      <c r="D21" s="1">
        <v>46.195999999999998</v>
      </c>
      <c r="E21" s="1">
        <v>47.868000000000002</v>
      </c>
      <c r="F21" s="1">
        <v>49.527000000000001</v>
      </c>
      <c r="G21" s="1">
        <v>42.713999999999999</v>
      </c>
      <c r="H21" s="1">
        <v>44.279000000000003</v>
      </c>
      <c r="I21" s="1">
        <v>48.136000000000003</v>
      </c>
      <c r="J21" s="1">
        <v>53.713000000000001</v>
      </c>
      <c r="K21" s="1">
        <v>53.915999999999997</v>
      </c>
      <c r="L21" s="1">
        <v>53.341999999999999</v>
      </c>
      <c r="M21" s="1">
        <v>61.582000000000001</v>
      </c>
      <c r="N21" s="1">
        <v>59.945999999999998</v>
      </c>
      <c r="O21" s="1">
        <v>69.275000000000006</v>
      </c>
      <c r="P21" s="1">
        <v>72.95</v>
      </c>
      <c r="Q21" s="1">
        <v>79.221000000000004</v>
      </c>
      <c r="R21" s="1">
        <v>85.738</v>
      </c>
      <c r="S21" s="1">
        <v>89.575999999999993</v>
      </c>
      <c r="T21" s="1">
        <v>93.611999999999995</v>
      </c>
      <c r="U21" s="1">
        <v>97.718999999999994</v>
      </c>
      <c r="V21" s="1">
        <v>102.03100000000001</v>
      </c>
    </row>
    <row r="22" spans="1:22" x14ac:dyDescent="0.3">
      <c r="A22" s="20" t="s">
        <v>57</v>
      </c>
      <c r="B22" s="19">
        <f>SUM(B2:B21)</f>
        <v>1487.356</v>
      </c>
      <c r="C22" s="19">
        <f t="shared" ref="C22:V22" si="0">SUM(C2:C21)</f>
        <v>1656.4459999999999</v>
      </c>
      <c r="D22" s="19">
        <f t="shared" si="0"/>
        <v>1556.5980000000002</v>
      </c>
      <c r="E22" s="19">
        <f t="shared" si="0"/>
        <v>1629.2629999999997</v>
      </c>
      <c r="F22" s="19">
        <f t="shared" si="0"/>
        <v>1679.1260000000002</v>
      </c>
      <c r="G22" s="19">
        <f t="shared" si="0"/>
        <v>1466.5749999999998</v>
      </c>
      <c r="H22" s="19">
        <f t="shared" si="0"/>
        <v>1479.2059999999997</v>
      </c>
      <c r="I22" s="19">
        <f t="shared" si="0"/>
        <v>1640.4619999999998</v>
      </c>
      <c r="J22" s="19">
        <f t="shared" si="0"/>
        <v>1854.1780000000001</v>
      </c>
      <c r="K22" s="19">
        <f t="shared" si="0"/>
        <v>1885.1589999999999</v>
      </c>
      <c r="L22" s="19">
        <f t="shared" si="0"/>
        <v>1871.347</v>
      </c>
      <c r="M22" s="19">
        <f t="shared" si="0"/>
        <v>2157.1349999999998</v>
      </c>
      <c r="N22" s="19">
        <f t="shared" si="0"/>
        <v>2226.7179999999994</v>
      </c>
      <c r="O22" s="19">
        <f t="shared" si="0"/>
        <v>2577.0299999999997</v>
      </c>
      <c r="P22" s="19">
        <f t="shared" si="0"/>
        <v>2781.5009999999997</v>
      </c>
      <c r="Q22" s="19">
        <f t="shared" si="0"/>
        <v>3101.4519999999993</v>
      </c>
      <c r="R22" s="19">
        <f t="shared" si="0"/>
        <v>3340.6019999999999</v>
      </c>
      <c r="S22" s="19">
        <f t="shared" si="0"/>
        <v>3505.7050000000004</v>
      </c>
      <c r="T22" s="19">
        <f t="shared" si="0"/>
        <v>3681.44</v>
      </c>
      <c r="U22" s="19">
        <f t="shared" si="0"/>
        <v>3872.4110000000001</v>
      </c>
      <c r="V22" s="19">
        <f t="shared" si="0"/>
        <v>4073.355</v>
      </c>
    </row>
    <row r="24" spans="1:22" x14ac:dyDescent="0.3">
      <c r="A24" s="11" t="s">
        <v>21</v>
      </c>
      <c r="B24" s="11">
        <v>2010</v>
      </c>
      <c r="C24" s="11">
        <v>2011</v>
      </c>
      <c r="D24" s="11">
        <v>2012</v>
      </c>
      <c r="E24" s="11">
        <v>2013</v>
      </c>
      <c r="F24" s="11">
        <v>2014</v>
      </c>
      <c r="G24" s="11">
        <v>2015</v>
      </c>
      <c r="H24" s="11">
        <v>2016</v>
      </c>
      <c r="I24" s="11">
        <v>2017</v>
      </c>
      <c r="J24" s="11">
        <v>2018</v>
      </c>
      <c r="K24" s="11">
        <v>2019</v>
      </c>
      <c r="L24" s="11">
        <v>2020</v>
      </c>
      <c r="M24" s="11">
        <v>2021</v>
      </c>
      <c r="N24" s="11">
        <v>2022</v>
      </c>
      <c r="O24" s="11">
        <v>2023</v>
      </c>
      <c r="P24" s="11">
        <v>2024</v>
      </c>
      <c r="Q24" s="11">
        <v>2025</v>
      </c>
      <c r="R24" s="11">
        <v>2026</v>
      </c>
      <c r="S24" s="11">
        <v>2027</v>
      </c>
      <c r="T24" s="11">
        <v>2028</v>
      </c>
      <c r="U24" s="11">
        <v>2029</v>
      </c>
      <c r="V24" s="11">
        <v>2030</v>
      </c>
    </row>
    <row r="25" spans="1:22" x14ac:dyDescent="0.3">
      <c r="A25" t="s">
        <v>0</v>
      </c>
      <c r="B25">
        <v>3.7</v>
      </c>
      <c r="C25">
        <v>2.5</v>
      </c>
      <c r="D25">
        <v>1.4</v>
      </c>
      <c r="E25">
        <v>1</v>
      </c>
      <c r="F25">
        <v>1.8</v>
      </c>
      <c r="G25">
        <v>2.2000000000000002</v>
      </c>
      <c r="H25">
        <v>3.9</v>
      </c>
      <c r="I25">
        <v>3.3</v>
      </c>
      <c r="J25">
        <v>3.7</v>
      </c>
      <c r="K25">
        <v>2.1</v>
      </c>
      <c r="L25">
        <v>-3.3</v>
      </c>
      <c r="M25">
        <v>9</v>
      </c>
      <c r="N25">
        <v>4.8</v>
      </c>
      <c r="O25">
        <v>4</v>
      </c>
      <c r="P25">
        <v>4</v>
      </c>
      <c r="Q25">
        <v>3.4</v>
      </c>
      <c r="R25">
        <v>3.6</v>
      </c>
      <c r="S25">
        <v>3.5</v>
      </c>
      <c r="T25">
        <v>3.5</v>
      </c>
      <c r="U25">
        <v>3.5</v>
      </c>
      <c r="V25">
        <v>3.5</v>
      </c>
    </row>
    <row r="26" spans="1:22" x14ac:dyDescent="0.3">
      <c r="A26" t="s">
        <v>1</v>
      </c>
      <c r="B26">
        <v>2.2000000000000002</v>
      </c>
      <c r="C26">
        <v>4.7</v>
      </c>
      <c r="D26">
        <v>7.1</v>
      </c>
      <c r="E26">
        <v>3.4</v>
      </c>
      <c r="F26">
        <v>3.6</v>
      </c>
      <c r="G26">
        <v>3.3</v>
      </c>
      <c r="H26">
        <v>0.2</v>
      </c>
      <c r="I26">
        <v>7.5</v>
      </c>
      <c r="J26">
        <v>5.2</v>
      </c>
      <c r="K26">
        <v>7.6</v>
      </c>
      <c r="L26">
        <v>-7.1</v>
      </c>
      <c r="M26">
        <v>5.8</v>
      </c>
      <c r="N26">
        <v>12.6</v>
      </c>
      <c r="O26">
        <v>8.3000000000000007</v>
      </c>
      <c r="P26">
        <v>5.9</v>
      </c>
      <c r="Q26">
        <v>4.8</v>
      </c>
      <c r="R26">
        <v>4.9000000000000004</v>
      </c>
      <c r="S26">
        <v>5.5</v>
      </c>
      <c r="T26">
        <v>4.8</v>
      </c>
      <c r="U26">
        <v>4.5</v>
      </c>
      <c r="V26">
        <v>4.5</v>
      </c>
    </row>
    <row r="27" spans="1:22" x14ac:dyDescent="0.3">
      <c r="A27" t="s">
        <v>2</v>
      </c>
      <c r="B27">
        <v>5</v>
      </c>
      <c r="C27">
        <v>0.1</v>
      </c>
      <c r="D27">
        <v>2.2000000000000002</v>
      </c>
      <c r="E27">
        <v>5.8</v>
      </c>
      <c r="F27">
        <v>2.8</v>
      </c>
      <c r="G27">
        <v>1.1000000000000001</v>
      </c>
      <c r="H27">
        <v>-3.1</v>
      </c>
      <c r="I27">
        <v>0.2</v>
      </c>
      <c r="J27">
        <v>1.5</v>
      </c>
      <c r="K27">
        <v>2.5</v>
      </c>
      <c r="L27">
        <v>-4.2</v>
      </c>
      <c r="M27">
        <v>5.6</v>
      </c>
      <c r="N27">
        <v>4.7</v>
      </c>
      <c r="O27">
        <v>1.4</v>
      </c>
      <c r="P27">
        <v>4.0999999999999996</v>
      </c>
      <c r="Q27">
        <v>3</v>
      </c>
      <c r="R27">
        <v>2.5</v>
      </c>
      <c r="S27">
        <v>2.5</v>
      </c>
      <c r="T27">
        <v>2.5</v>
      </c>
      <c r="U27">
        <v>2.5</v>
      </c>
      <c r="V27">
        <v>2.5</v>
      </c>
    </row>
    <row r="28" spans="1:22" x14ac:dyDescent="0.3">
      <c r="A28" t="s">
        <v>3</v>
      </c>
      <c r="B28">
        <v>0.9</v>
      </c>
      <c r="C28">
        <v>1</v>
      </c>
      <c r="D28">
        <v>-0.8</v>
      </c>
      <c r="E28">
        <v>2.2999999999999998</v>
      </c>
      <c r="F28">
        <v>1.2</v>
      </c>
      <c r="G28">
        <v>4.3</v>
      </c>
      <c r="H28">
        <v>3.2</v>
      </c>
      <c r="I28">
        <v>3.2</v>
      </c>
      <c r="J28">
        <v>3.8</v>
      </c>
      <c r="K28">
        <v>2.9</v>
      </c>
      <c r="L28">
        <v>-3</v>
      </c>
      <c r="M28">
        <v>7.4</v>
      </c>
      <c r="N28">
        <v>4.2</v>
      </c>
      <c r="O28">
        <v>2</v>
      </c>
      <c r="P28">
        <v>3</v>
      </c>
      <c r="Q28">
        <v>2.4</v>
      </c>
      <c r="R28">
        <v>2.7</v>
      </c>
      <c r="S28">
        <v>3</v>
      </c>
      <c r="T28">
        <v>3</v>
      </c>
      <c r="U28">
        <v>3</v>
      </c>
      <c r="V28">
        <v>3</v>
      </c>
    </row>
    <row r="29" spans="1:22" x14ac:dyDescent="0.3">
      <c r="A29" t="s">
        <v>4</v>
      </c>
      <c r="B29">
        <v>1.6</v>
      </c>
      <c r="C29">
        <v>2.1</v>
      </c>
      <c r="D29">
        <v>0.7</v>
      </c>
      <c r="E29">
        <v>-0.5</v>
      </c>
      <c r="F29">
        <v>0.9</v>
      </c>
      <c r="G29">
        <v>3.4</v>
      </c>
      <c r="H29">
        <v>3</v>
      </c>
      <c r="I29">
        <v>2.7</v>
      </c>
      <c r="J29">
        <v>2.5</v>
      </c>
      <c r="K29">
        <v>3.8</v>
      </c>
      <c r="L29">
        <v>-3.2</v>
      </c>
      <c r="M29">
        <v>7.8</v>
      </c>
      <c r="N29">
        <v>4</v>
      </c>
      <c r="O29">
        <v>1.9</v>
      </c>
      <c r="P29">
        <v>2.8</v>
      </c>
      <c r="Q29">
        <v>3</v>
      </c>
      <c r="R29">
        <v>3.1</v>
      </c>
      <c r="S29">
        <v>2.8</v>
      </c>
      <c r="T29">
        <v>2.7</v>
      </c>
      <c r="U29">
        <v>2.6</v>
      </c>
      <c r="V29">
        <v>2.6</v>
      </c>
    </row>
    <row r="30" spans="1:22" x14ac:dyDescent="0.3">
      <c r="A30" t="s">
        <v>5</v>
      </c>
      <c r="B30">
        <v>-1.3</v>
      </c>
      <c r="C30">
        <v>-0.1</v>
      </c>
      <c r="D30">
        <v>-2.2999999999999998</v>
      </c>
      <c r="E30">
        <v>-0.1</v>
      </c>
      <c r="F30">
        <v>-0.6</v>
      </c>
      <c r="G30">
        <v>2.2999999999999998</v>
      </c>
      <c r="H30">
        <v>3.5</v>
      </c>
      <c r="I30">
        <v>3.3</v>
      </c>
      <c r="J30">
        <v>2.9</v>
      </c>
      <c r="K30">
        <v>3.1</v>
      </c>
      <c r="L30">
        <v>-8.3000000000000007</v>
      </c>
      <c r="M30">
        <v>12.6</v>
      </c>
      <c r="N30">
        <v>7.3</v>
      </c>
      <c r="O30">
        <v>3.3</v>
      </c>
      <c r="P30">
        <v>3.9</v>
      </c>
      <c r="Q30">
        <v>3.1</v>
      </c>
      <c r="R30">
        <v>2.7</v>
      </c>
      <c r="S30">
        <v>2.6</v>
      </c>
      <c r="T30">
        <v>2.6</v>
      </c>
      <c r="U30">
        <v>2.5</v>
      </c>
      <c r="V30">
        <v>2.5</v>
      </c>
    </row>
    <row r="31" spans="1:22" x14ac:dyDescent="0.3">
      <c r="A31" t="s">
        <v>6</v>
      </c>
      <c r="B31">
        <v>2.7</v>
      </c>
      <c r="C31">
        <v>1.8</v>
      </c>
      <c r="D31">
        <v>-0.8</v>
      </c>
      <c r="E31">
        <v>0</v>
      </c>
      <c r="F31">
        <v>2.2000000000000002</v>
      </c>
      <c r="G31">
        <v>5</v>
      </c>
      <c r="H31">
        <v>2.6</v>
      </c>
      <c r="I31">
        <v>5.2</v>
      </c>
      <c r="J31">
        <v>2.8</v>
      </c>
      <c r="K31">
        <v>3.6</v>
      </c>
      <c r="L31">
        <v>-5.3</v>
      </c>
      <c r="M31">
        <v>4</v>
      </c>
      <c r="N31">
        <v>2.8</v>
      </c>
      <c r="O31">
        <v>0</v>
      </c>
      <c r="P31">
        <v>1.2</v>
      </c>
      <c r="Q31">
        <v>2.2999999999999998</v>
      </c>
      <c r="R31">
        <v>2</v>
      </c>
      <c r="S31">
        <v>2</v>
      </c>
      <c r="T31">
        <v>2</v>
      </c>
      <c r="U31">
        <v>2</v>
      </c>
      <c r="V31">
        <v>2</v>
      </c>
    </row>
    <row r="32" spans="1:22" x14ac:dyDescent="0.3">
      <c r="A32" t="s">
        <v>7</v>
      </c>
      <c r="B32">
        <v>2.4</v>
      </c>
      <c r="C32">
        <v>7.6</v>
      </c>
      <c r="D32">
        <v>3.7</v>
      </c>
      <c r="E32">
        <v>1.8</v>
      </c>
      <c r="F32">
        <v>3.3</v>
      </c>
      <c r="G32">
        <v>1.8</v>
      </c>
      <c r="H32">
        <v>3.1</v>
      </c>
      <c r="I32">
        <v>5.6</v>
      </c>
      <c r="J32">
        <v>3.7</v>
      </c>
      <c r="K32">
        <v>3.7</v>
      </c>
      <c r="L32">
        <v>-2.9</v>
      </c>
      <c r="M32">
        <v>8.3000000000000007</v>
      </c>
      <c r="N32">
        <v>-1.2</v>
      </c>
      <c r="O32">
        <v>-2.7</v>
      </c>
      <c r="P32">
        <v>-0.1</v>
      </c>
      <c r="Q32">
        <v>0.5</v>
      </c>
      <c r="R32">
        <v>1.5</v>
      </c>
      <c r="S32">
        <v>1.8</v>
      </c>
      <c r="T32">
        <v>1.8</v>
      </c>
      <c r="U32">
        <v>1.8</v>
      </c>
      <c r="V32">
        <v>1.7</v>
      </c>
    </row>
    <row r="33" spans="1:22" x14ac:dyDescent="0.3">
      <c r="A33" t="s">
        <v>8</v>
      </c>
      <c r="B33">
        <v>6.9</v>
      </c>
      <c r="C33">
        <v>7.9</v>
      </c>
      <c r="D33">
        <v>6.6</v>
      </c>
      <c r="E33">
        <v>5.0999999999999996</v>
      </c>
      <c r="F33">
        <v>4.0999999999999996</v>
      </c>
      <c r="G33">
        <v>3.4</v>
      </c>
      <c r="H33">
        <v>3.4</v>
      </c>
      <c r="I33">
        <v>5.2</v>
      </c>
      <c r="J33">
        <v>6.1</v>
      </c>
      <c r="K33">
        <v>5.4</v>
      </c>
      <c r="L33">
        <v>-6.3</v>
      </c>
      <c r="M33">
        <v>10.6</v>
      </c>
      <c r="N33">
        <v>11</v>
      </c>
      <c r="O33">
        <v>7.8</v>
      </c>
      <c r="P33">
        <v>9.4</v>
      </c>
      <c r="Q33">
        <v>7.2</v>
      </c>
      <c r="R33">
        <v>5.3</v>
      </c>
      <c r="S33">
        <v>5</v>
      </c>
      <c r="T33">
        <v>5</v>
      </c>
      <c r="U33">
        <v>5</v>
      </c>
      <c r="V33">
        <v>5</v>
      </c>
    </row>
    <row r="34" spans="1:22" x14ac:dyDescent="0.3">
      <c r="A34" t="s">
        <v>9</v>
      </c>
      <c r="B34">
        <v>1.1000000000000001</v>
      </c>
      <c r="C34">
        <v>1.9</v>
      </c>
      <c r="D34">
        <v>-1.3</v>
      </c>
      <c r="E34">
        <v>2</v>
      </c>
      <c r="F34">
        <v>4.3</v>
      </c>
      <c r="G34">
        <v>3.7</v>
      </c>
      <c r="H34">
        <v>2.4</v>
      </c>
      <c r="I34">
        <v>4.0999999999999996</v>
      </c>
      <c r="J34">
        <v>5.6</v>
      </c>
      <c r="K34">
        <v>5.0999999999999996</v>
      </c>
      <c r="L34">
        <v>-4.3</v>
      </c>
      <c r="M34">
        <v>7.2</v>
      </c>
      <c r="N34">
        <v>4.3</v>
      </c>
      <c r="O34">
        <v>-0.8</v>
      </c>
      <c r="P34">
        <v>0.5</v>
      </c>
      <c r="Q34">
        <v>0.6</v>
      </c>
      <c r="R34">
        <v>2.1</v>
      </c>
      <c r="S34">
        <v>2.2999999999999998</v>
      </c>
      <c r="T34">
        <v>2.4</v>
      </c>
      <c r="U34">
        <v>2.5</v>
      </c>
      <c r="V34">
        <v>2.5</v>
      </c>
    </row>
    <row r="35" spans="1:22" x14ac:dyDescent="0.3">
      <c r="A35" t="s">
        <v>10</v>
      </c>
      <c r="B35">
        <v>-3.7</v>
      </c>
      <c r="C35">
        <v>3</v>
      </c>
      <c r="D35">
        <v>7.3</v>
      </c>
      <c r="E35">
        <v>2.1</v>
      </c>
      <c r="F35">
        <v>2.1</v>
      </c>
      <c r="G35">
        <v>3.8</v>
      </c>
      <c r="H35">
        <v>2.6</v>
      </c>
      <c r="I35">
        <v>3.4</v>
      </c>
      <c r="J35">
        <v>4.3</v>
      </c>
      <c r="K35">
        <v>0.7</v>
      </c>
      <c r="L35">
        <v>-3.5</v>
      </c>
      <c r="M35">
        <v>6.9</v>
      </c>
      <c r="N35">
        <v>1.8</v>
      </c>
      <c r="O35">
        <v>2.9</v>
      </c>
      <c r="P35">
        <v>-0.4</v>
      </c>
      <c r="Q35">
        <v>1</v>
      </c>
      <c r="R35">
        <v>2.2000000000000002</v>
      </c>
      <c r="S35">
        <v>2.4</v>
      </c>
      <c r="T35">
        <v>2.4</v>
      </c>
      <c r="U35">
        <v>2.4</v>
      </c>
      <c r="V35">
        <v>2.4</v>
      </c>
    </row>
    <row r="36" spans="1:22" x14ac:dyDescent="0.3">
      <c r="A36" t="s">
        <v>11</v>
      </c>
      <c r="B36">
        <v>0.3</v>
      </c>
      <c r="C36">
        <v>6.3</v>
      </c>
      <c r="D36">
        <v>4.4000000000000004</v>
      </c>
      <c r="E36">
        <v>4.0999999999999996</v>
      </c>
      <c r="F36">
        <v>3.8</v>
      </c>
      <c r="G36">
        <v>2.8</v>
      </c>
      <c r="H36">
        <v>2.6</v>
      </c>
      <c r="I36">
        <v>4.7</v>
      </c>
      <c r="J36">
        <v>4.8</v>
      </c>
      <c r="K36">
        <v>4.7</v>
      </c>
      <c r="L36">
        <v>0</v>
      </c>
      <c r="M36">
        <v>6.4</v>
      </c>
      <c r="N36">
        <v>2.5</v>
      </c>
      <c r="O36">
        <v>0.4</v>
      </c>
      <c r="P36">
        <v>2.7</v>
      </c>
      <c r="Q36">
        <v>2.7</v>
      </c>
      <c r="R36">
        <v>2.9</v>
      </c>
      <c r="S36">
        <v>2.1</v>
      </c>
      <c r="T36">
        <v>2.5</v>
      </c>
      <c r="U36">
        <v>2.5</v>
      </c>
      <c r="V36">
        <v>2.5</v>
      </c>
    </row>
    <row r="37" spans="1:22" x14ac:dyDescent="0.3">
      <c r="A37" t="s">
        <v>12</v>
      </c>
      <c r="B37">
        <v>7.1</v>
      </c>
      <c r="C37">
        <v>5.8</v>
      </c>
      <c r="D37">
        <v>-0.6</v>
      </c>
      <c r="E37">
        <v>9</v>
      </c>
      <c r="F37">
        <v>5</v>
      </c>
      <c r="G37">
        <v>-0.7</v>
      </c>
      <c r="H37">
        <v>4.5999999999999996</v>
      </c>
      <c r="I37">
        <v>4.2</v>
      </c>
      <c r="J37">
        <v>4.0999999999999996</v>
      </c>
      <c r="K37">
        <v>3.6</v>
      </c>
      <c r="L37">
        <v>-8.3000000000000007</v>
      </c>
      <c r="M37">
        <v>13.9</v>
      </c>
      <c r="N37">
        <v>-4.5999999999999996</v>
      </c>
      <c r="O37">
        <v>1.2</v>
      </c>
      <c r="P37">
        <v>0.1</v>
      </c>
      <c r="Q37">
        <v>1.7</v>
      </c>
      <c r="R37">
        <v>2.2000000000000002</v>
      </c>
      <c r="S37">
        <v>3.5</v>
      </c>
      <c r="T37">
        <v>3.7</v>
      </c>
      <c r="U37">
        <v>3.7</v>
      </c>
      <c r="V37">
        <v>3.5</v>
      </c>
    </row>
    <row r="38" spans="1:22" x14ac:dyDescent="0.3">
      <c r="A38" t="s">
        <v>13</v>
      </c>
      <c r="B38">
        <v>2.8</v>
      </c>
      <c r="C38">
        <v>3.4</v>
      </c>
      <c r="D38">
        <v>-2.5</v>
      </c>
      <c r="E38">
        <v>3.4</v>
      </c>
      <c r="F38">
        <v>2.4</v>
      </c>
      <c r="G38">
        <v>2.5</v>
      </c>
      <c r="H38">
        <v>3.4</v>
      </c>
      <c r="I38">
        <v>3.2</v>
      </c>
      <c r="J38">
        <v>4.7</v>
      </c>
      <c r="K38">
        <v>4.4000000000000004</v>
      </c>
      <c r="L38">
        <v>-15</v>
      </c>
      <c r="M38">
        <v>13</v>
      </c>
      <c r="N38">
        <v>7.7</v>
      </c>
      <c r="O38">
        <v>6.5</v>
      </c>
      <c r="P38">
        <v>3.2</v>
      </c>
      <c r="Q38">
        <v>3.2</v>
      </c>
      <c r="R38">
        <v>3.2</v>
      </c>
      <c r="S38">
        <v>3</v>
      </c>
      <c r="T38">
        <v>3</v>
      </c>
      <c r="U38">
        <v>3</v>
      </c>
      <c r="V38">
        <v>3</v>
      </c>
    </row>
    <row r="39" spans="1:22" x14ac:dyDescent="0.3">
      <c r="A39" t="s">
        <v>14</v>
      </c>
      <c r="B39">
        <v>3.4</v>
      </c>
      <c r="C39">
        <v>2.2999999999999998</v>
      </c>
      <c r="D39">
        <v>-0.5</v>
      </c>
      <c r="E39">
        <v>2.9</v>
      </c>
      <c r="F39">
        <v>3.6</v>
      </c>
      <c r="G39">
        <v>3.9</v>
      </c>
      <c r="H39">
        <v>2.8</v>
      </c>
      <c r="I39">
        <v>1.1000000000000001</v>
      </c>
      <c r="J39">
        <v>2.9</v>
      </c>
      <c r="K39">
        <v>3.9</v>
      </c>
      <c r="L39">
        <v>-4.7</v>
      </c>
      <c r="M39">
        <v>4.5</v>
      </c>
      <c r="N39">
        <v>2.8</v>
      </c>
      <c r="O39">
        <v>2.1</v>
      </c>
      <c r="P39">
        <v>2.8</v>
      </c>
      <c r="Q39">
        <v>3.4</v>
      </c>
      <c r="R39">
        <v>3.2</v>
      </c>
      <c r="S39">
        <v>3.2</v>
      </c>
      <c r="T39">
        <v>3.1</v>
      </c>
      <c r="U39">
        <v>3.1</v>
      </c>
      <c r="V39">
        <v>3</v>
      </c>
    </row>
    <row r="40" spans="1:22" x14ac:dyDescent="0.3">
      <c r="A40" t="s">
        <v>15</v>
      </c>
      <c r="B40">
        <v>3.2</v>
      </c>
      <c r="C40">
        <v>5.3</v>
      </c>
      <c r="D40">
        <v>1.5</v>
      </c>
      <c r="E40">
        <v>0.7</v>
      </c>
      <c r="F40">
        <v>3.9</v>
      </c>
      <c r="G40">
        <v>4.4000000000000004</v>
      </c>
      <c r="H40">
        <v>3</v>
      </c>
      <c r="I40">
        <v>5.2</v>
      </c>
      <c r="J40">
        <v>6.2</v>
      </c>
      <c r="K40">
        <v>4.5999999999999996</v>
      </c>
      <c r="L40">
        <v>-2</v>
      </c>
      <c r="M40">
        <v>6.9</v>
      </c>
      <c r="N40">
        <v>5.3</v>
      </c>
      <c r="O40">
        <v>0.2</v>
      </c>
      <c r="P40">
        <v>2.9</v>
      </c>
      <c r="Q40">
        <v>3.2</v>
      </c>
      <c r="R40">
        <v>3.1</v>
      </c>
      <c r="S40">
        <v>2.9</v>
      </c>
      <c r="T40">
        <v>2.8</v>
      </c>
      <c r="U40">
        <v>2.7</v>
      </c>
      <c r="V40">
        <v>2.6</v>
      </c>
    </row>
    <row r="41" spans="1:22" x14ac:dyDescent="0.3">
      <c r="A41" t="s">
        <v>16</v>
      </c>
      <c r="B41">
        <v>-3.9</v>
      </c>
      <c r="C41">
        <v>4.5</v>
      </c>
      <c r="D41">
        <v>1.9</v>
      </c>
      <c r="E41">
        <v>0.3</v>
      </c>
      <c r="F41">
        <v>4.0999999999999996</v>
      </c>
      <c r="G41">
        <v>3.2</v>
      </c>
      <c r="H41">
        <v>2.9</v>
      </c>
      <c r="I41">
        <v>8.1999999999999993</v>
      </c>
      <c r="J41">
        <v>6.1</v>
      </c>
      <c r="K41">
        <v>3.9</v>
      </c>
      <c r="L41">
        <v>-3.7</v>
      </c>
      <c r="M41">
        <v>5.5</v>
      </c>
      <c r="N41">
        <v>4</v>
      </c>
      <c r="O41">
        <v>2.4</v>
      </c>
      <c r="P41">
        <v>0.8</v>
      </c>
      <c r="Q41">
        <v>1</v>
      </c>
      <c r="R41">
        <v>1.4</v>
      </c>
      <c r="S41">
        <v>2.7</v>
      </c>
      <c r="T41">
        <v>2.9</v>
      </c>
      <c r="U41">
        <v>3.1</v>
      </c>
      <c r="V41">
        <v>3.3</v>
      </c>
    </row>
    <row r="42" spans="1:22" x14ac:dyDescent="0.3">
      <c r="A42" t="s">
        <v>17</v>
      </c>
      <c r="B42">
        <v>1.6</v>
      </c>
      <c r="C42">
        <v>0.1</v>
      </c>
      <c r="D42">
        <v>-0.4</v>
      </c>
      <c r="E42">
        <v>0.5</v>
      </c>
      <c r="F42">
        <v>-1.8</v>
      </c>
      <c r="G42">
        <v>1.3</v>
      </c>
      <c r="H42">
        <v>3</v>
      </c>
      <c r="I42">
        <v>2.4</v>
      </c>
      <c r="J42">
        <v>4.5999999999999996</v>
      </c>
      <c r="K42">
        <v>4.8</v>
      </c>
      <c r="L42">
        <v>-1</v>
      </c>
      <c r="M42">
        <v>7.9</v>
      </c>
      <c r="N42">
        <v>2.6</v>
      </c>
      <c r="O42">
        <v>3.8</v>
      </c>
      <c r="P42">
        <v>3.9</v>
      </c>
      <c r="Q42">
        <v>2.4</v>
      </c>
      <c r="R42">
        <v>3.6</v>
      </c>
      <c r="S42">
        <v>4.5999999999999996</v>
      </c>
      <c r="T42">
        <v>3.8</v>
      </c>
      <c r="U42">
        <v>4</v>
      </c>
      <c r="V42">
        <v>4</v>
      </c>
    </row>
    <row r="43" spans="1:22" x14ac:dyDescent="0.3">
      <c r="A43" t="s">
        <v>18</v>
      </c>
      <c r="B43">
        <v>6.8</v>
      </c>
      <c r="C43">
        <v>2.6</v>
      </c>
      <c r="D43">
        <v>1.6</v>
      </c>
      <c r="E43">
        <v>0.7</v>
      </c>
      <c r="F43">
        <v>2.7</v>
      </c>
      <c r="G43">
        <v>5.2</v>
      </c>
      <c r="H43">
        <v>1.9</v>
      </c>
      <c r="I43">
        <v>2.9</v>
      </c>
      <c r="J43">
        <v>4.0999999999999996</v>
      </c>
      <c r="K43">
        <v>2.2999999999999998</v>
      </c>
      <c r="L43">
        <v>-2.6</v>
      </c>
      <c r="M43">
        <v>5.7</v>
      </c>
      <c r="N43">
        <v>0.4</v>
      </c>
      <c r="O43">
        <v>2.2000000000000002</v>
      </c>
      <c r="P43">
        <v>2.1</v>
      </c>
      <c r="Q43">
        <v>0.9</v>
      </c>
      <c r="R43">
        <v>1.7</v>
      </c>
      <c r="S43">
        <v>2.5</v>
      </c>
      <c r="T43">
        <v>2.5</v>
      </c>
      <c r="U43">
        <v>2.2000000000000002</v>
      </c>
      <c r="V43">
        <v>2.1</v>
      </c>
    </row>
    <row r="44" spans="1:22" x14ac:dyDescent="0.3">
      <c r="A44" t="s">
        <v>19</v>
      </c>
      <c r="B44">
        <v>1.1000000000000001</v>
      </c>
      <c r="C44">
        <v>0.7</v>
      </c>
      <c r="D44">
        <v>-2.9</v>
      </c>
      <c r="E44">
        <v>-0.8</v>
      </c>
      <c r="F44">
        <v>2.8</v>
      </c>
      <c r="G44">
        <v>2.4</v>
      </c>
      <c r="H44">
        <v>3</v>
      </c>
      <c r="I44">
        <v>5.2</v>
      </c>
      <c r="J44">
        <v>4.4000000000000004</v>
      </c>
      <c r="K44">
        <v>3.5</v>
      </c>
      <c r="L44">
        <v>-4.0999999999999996</v>
      </c>
      <c r="M44">
        <v>8.4</v>
      </c>
      <c r="N44">
        <v>2.7</v>
      </c>
      <c r="O44">
        <v>2.4</v>
      </c>
      <c r="P44">
        <v>1.7</v>
      </c>
      <c r="Q44">
        <v>1.1000000000000001</v>
      </c>
      <c r="R44">
        <v>2.2999999999999998</v>
      </c>
      <c r="S44">
        <v>2.5</v>
      </c>
      <c r="T44">
        <v>2.4</v>
      </c>
      <c r="U44">
        <v>2.2999999999999998</v>
      </c>
      <c r="V44">
        <v>2.2999999999999998</v>
      </c>
    </row>
    <row r="46" spans="1:22" x14ac:dyDescent="0.3">
      <c r="A46" s="11" t="s">
        <v>60</v>
      </c>
      <c r="B46" s="11">
        <v>2010</v>
      </c>
      <c r="C46" s="11">
        <v>2011</v>
      </c>
      <c r="D46" s="11">
        <v>2012</v>
      </c>
      <c r="E46" s="11">
        <v>2013</v>
      </c>
      <c r="F46" s="11">
        <v>2014</v>
      </c>
      <c r="G46" s="11">
        <v>2015</v>
      </c>
      <c r="H46" s="11">
        <v>2016</v>
      </c>
      <c r="I46" s="11">
        <v>2017</v>
      </c>
      <c r="J46" s="11">
        <v>2018</v>
      </c>
      <c r="K46" s="11">
        <v>2019</v>
      </c>
      <c r="L46" s="11">
        <v>2020</v>
      </c>
      <c r="M46" s="11">
        <v>2021</v>
      </c>
      <c r="N46" s="11">
        <v>2022</v>
      </c>
      <c r="O46" s="11">
        <v>2023</v>
      </c>
      <c r="P46" s="11">
        <v>2024</v>
      </c>
      <c r="Q46" s="11">
        <v>2025</v>
      </c>
      <c r="R46" s="11">
        <v>2026</v>
      </c>
      <c r="S46" s="11">
        <v>2027</v>
      </c>
      <c r="T46" s="11">
        <v>2028</v>
      </c>
      <c r="U46" s="11">
        <v>2029</v>
      </c>
      <c r="V46" s="11">
        <v>2030</v>
      </c>
    </row>
    <row r="47" spans="1:22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</row>
    <row r="48" spans="1:22" x14ac:dyDescent="0.3">
      <c r="A48" t="s">
        <v>0</v>
      </c>
      <c r="B48" s="14">
        <v>100</v>
      </c>
      <c r="C48" s="14">
        <f t="shared" ref="C48:V48" si="1">B48*(1+(C25/100))</f>
        <v>102.49999999999999</v>
      </c>
      <c r="D48" s="14">
        <f t="shared" si="1"/>
        <v>103.93499999999999</v>
      </c>
      <c r="E48" s="14">
        <f t="shared" si="1"/>
        <v>104.97434999999999</v>
      </c>
      <c r="F48" s="14">
        <f t="shared" si="1"/>
        <v>106.86388829999999</v>
      </c>
      <c r="G48" s="14">
        <f t="shared" si="1"/>
        <v>109.21489384259999</v>
      </c>
      <c r="H48" s="14">
        <f t="shared" si="1"/>
        <v>113.47427470246139</v>
      </c>
      <c r="I48" s="14">
        <f t="shared" si="1"/>
        <v>117.2189257676426</v>
      </c>
      <c r="J48" s="14">
        <f t="shared" si="1"/>
        <v>121.55602602104537</v>
      </c>
      <c r="K48" s="14">
        <f t="shared" si="1"/>
        <v>124.10870256748731</v>
      </c>
      <c r="L48" s="14">
        <f t="shared" si="1"/>
        <v>120.01311538276023</v>
      </c>
      <c r="M48" s="14">
        <f t="shared" si="1"/>
        <v>130.81429576720868</v>
      </c>
      <c r="N48" s="14">
        <f t="shared" si="1"/>
        <v>137.09338196403471</v>
      </c>
      <c r="O48" s="14">
        <f t="shared" si="1"/>
        <v>142.5771172425961</v>
      </c>
      <c r="P48" s="14">
        <f t="shared" si="1"/>
        <v>148.28020193229995</v>
      </c>
      <c r="Q48" s="14">
        <f t="shared" si="1"/>
        <v>153.32172879799816</v>
      </c>
      <c r="R48" s="14">
        <f t="shared" si="1"/>
        <v>158.84131103472609</v>
      </c>
      <c r="S48" s="14">
        <f t="shared" si="1"/>
        <v>164.40075692094149</v>
      </c>
      <c r="T48" s="14">
        <f t="shared" si="1"/>
        <v>170.15478341317444</v>
      </c>
      <c r="U48" s="14">
        <f t="shared" si="1"/>
        <v>176.11020083263554</v>
      </c>
      <c r="V48" s="14">
        <f t="shared" si="1"/>
        <v>182.27405786177778</v>
      </c>
    </row>
    <row r="49" spans="1:22" x14ac:dyDescent="0.3">
      <c r="A49" t="s">
        <v>1</v>
      </c>
      <c r="B49" s="14">
        <v>100</v>
      </c>
      <c r="C49" s="14">
        <f t="shared" ref="C49:V49" si="2">B49*(1+(C26/100))</f>
        <v>104.69999999999999</v>
      </c>
      <c r="D49" s="14">
        <f t="shared" si="2"/>
        <v>112.13369999999998</v>
      </c>
      <c r="E49" s="14">
        <f t="shared" si="2"/>
        <v>115.94624579999999</v>
      </c>
      <c r="F49" s="14">
        <f t="shared" si="2"/>
        <v>120.12031064879999</v>
      </c>
      <c r="G49" s="14">
        <f t="shared" si="2"/>
        <v>124.08428090021037</v>
      </c>
      <c r="H49" s="14">
        <f t="shared" si="2"/>
        <v>124.3324494620108</v>
      </c>
      <c r="I49" s="14">
        <f t="shared" si="2"/>
        <v>133.65738317166159</v>
      </c>
      <c r="J49" s="14">
        <f t="shared" si="2"/>
        <v>140.60756709658801</v>
      </c>
      <c r="K49" s="14">
        <f t="shared" si="2"/>
        <v>151.2937421959287</v>
      </c>
      <c r="L49" s="14">
        <f t="shared" si="2"/>
        <v>140.55188650001776</v>
      </c>
      <c r="M49" s="14">
        <f t="shared" si="2"/>
        <v>148.7038959170188</v>
      </c>
      <c r="N49" s="14">
        <f t="shared" si="2"/>
        <v>167.44058680256316</v>
      </c>
      <c r="O49" s="14">
        <f t="shared" si="2"/>
        <v>181.33815550717588</v>
      </c>
      <c r="P49" s="14">
        <f t="shared" si="2"/>
        <v>192.03710668209925</v>
      </c>
      <c r="Q49" s="14">
        <f t="shared" si="2"/>
        <v>201.25488780284002</v>
      </c>
      <c r="R49" s="14">
        <f t="shared" si="2"/>
        <v>211.11637730517916</v>
      </c>
      <c r="S49" s="14">
        <f t="shared" si="2"/>
        <v>222.72777805696398</v>
      </c>
      <c r="T49" s="14">
        <f t="shared" si="2"/>
        <v>233.41871140369827</v>
      </c>
      <c r="U49" s="14">
        <f t="shared" si="2"/>
        <v>243.92255341686467</v>
      </c>
      <c r="V49" s="14">
        <f t="shared" si="2"/>
        <v>254.89906832062357</v>
      </c>
    </row>
    <row r="50" spans="1:22" x14ac:dyDescent="0.3">
      <c r="A50" t="s">
        <v>2</v>
      </c>
      <c r="B50" s="14">
        <v>100</v>
      </c>
      <c r="C50" s="14">
        <f t="shared" ref="C50:V50" si="3">B50*(1+(C27/100))</f>
        <v>100.1</v>
      </c>
      <c r="D50" s="14">
        <f t="shared" si="3"/>
        <v>102.3022</v>
      </c>
      <c r="E50" s="14">
        <f t="shared" si="3"/>
        <v>108.2357276</v>
      </c>
      <c r="F50" s="14">
        <f t="shared" si="3"/>
        <v>111.26632797280001</v>
      </c>
      <c r="G50" s="14">
        <f t="shared" si="3"/>
        <v>112.4902575805008</v>
      </c>
      <c r="H50" s="14">
        <f t="shared" si="3"/>
        <v>109.00305959550526</v>
      </c>
      <c r="I50" s="14">
        <f t="shared" si="3"/>
        <v>109.22106571469628</v>
      </c>
      <c r="J50" s="14">
        <f t="shared" si="3"/>
        <v>110.85938170041672</v>
      </c>
      <c r="K50" s="14">
        <f t="shared" si="3"/>
        <v>113.63086624292713</v>
      </c>
      <c r="L50" s="14">
        <f t="shared" si="3"/>
        <v>108.85836986072418</v>
      </c>
      <c r="M50" s="14">
        <f t="shared" si="3"/>
        <v>114.95443857292474</v>
      </c>
      <c r="N50" s="14">
        <f t="shared" si="3"/>
        <v>120.3572971858522</v>
      </c>
      <c r="O50" s="14">
        <f t="shared" si="3"/>
        <v>122.04229934645413</v>
      </c>
      <c r="P50" s="14">
        <f t="shared" si="3"/>
        <v>127.04603361965874</v>
      </c>
      <c r="Q50" s="14">
        <f t="shared" si="3"/>
        <v>130.85741462824851</v>
      </c>
      <c r="R50" s="14">
        <f t="shared" si="3"/>
        <v>134.1288499939547</v>
      </c>
      <c r="S50" s="14">
        <f t="shared" si="3"/>
        <v>137.48207124380355</v>
      </c>
      <c r="T50" s="14">
        <f t="shared" si="3"/>
        <v>140.91912302489862</v>
      </c>
      <c r="U50" s="14">
        <f t="shared" si="3"/>
        <v>144.44210110052109</v>
      </c>
      <c r="V50" s="14">
        <f t="shared" si="3"/>
        <v>148.0531536280341</v>
      </c>
    </row>
    <row r="51" spans="1:22" x14ac:dyDescent="0.3">
      <c r="A51" t="s">
        <v>3</v>
      </c>
      <c r="B51" s="14">
        <v>100</v>
      </c>
      <c r="C51" s="14">
        <f t="shared" ref="C51:V51" si="4">B51*(1+(C28/100))</f>
        <v>101</v>
      </c>
      <c r="D51" s="14">
        <f t="shared" si="4"/>
        <v>100.19199999999999</v>
      </c>
      <c r="E51" s="14">
        <f t="shared" si="4"/>
        <v>102.49641599999998</v>
      </c>
      <c r="F51" s="14">
        <f t="shared" si="4"/>
        <v>103.72637299199998</v>
      </c>
      <c r="G51" s="14">
        <f t="shared" si="4"/>
        <v>108.18660703065598</v>
      </c>
      <c r="H51" s="14">
        <f t="shared" si="4"/>
        <v>111.64857845563697</v>
      </c>
      <c r="I51" s="14">
        <f t="shared" si="4"/>
        <v>115.22133296621735</v>
      </c>
      <c r="J51" s="14">
        <f t="shared" si="4"/>
        <v>119.59974361893362</v>
      </c>
      <c r="K51" s="14">
        <f t="shared" si="4"/>
        <v>123.06813618388269</v>
      </c>
      <c r="L51" s="14">
        <f t="shared" si="4"/>
        <v>119.3760920983662</v>
      </c>
      <c r="M51" s="14">
        <f t="shared" si="4"/>
        <v>128.2099229136453</v>
      </c>
      <c r="N51" s="14">
        <f t="shared" si="4"/>
        <v>133.59473967601841</v>
      </c>
      <c r="O51" s="14">
        <f t="shared" si="4"/>
        <v>136.26663446953879</v>
      </c>
      <c r="P51" s="14">
        <f t="shared" si="4"/>
        <v>140.35463350362497</v>
      </c>
      <c r="Q51" s="14">
        <f t="shared" si="4"/>
        <v>143.72314470771198</v>
      </c>
      <c r="R51" s="14">
        <f t="shared" si="4"/>
        <v>147.60366961482021</v>
      </c>
      <c r="S51" s="14">
        <f t="shared" si="4"/>
        <v>152.03177970326482</v>
      </c>
      <c r="T51" s="14">
        <f t="shared" si="4"/>
        <v>156.59273309436276</v>
      </c>
      <c r="U51" s="14">
        <f t="shared" si="4"/>
        <v>161.29051508719365</v>
      </c>
      <c r="V51" s="14">
        <f t="shared" si="4"/>
        <v>166.12923053980947</v>
      </c>
    </row>
    <row r="52" spans="1:22" x14ac:dyDescent="0.3">
      <c r="A52" t="s">
        <v>4</v>
      </c>
      <c r="B52" s="14">
        <v>100</v>
      </c>
      <c r="C52" s="14">
        <f t="shared" ref="C52:V52" si="5">B52*(1+(C29/100))</f>
        <v>102.1</v>
      </c>
      <c r="D52" s="14">
        <f t="shared" si="5"/>
        <v>102.81469999999999</v>
      </c>
      <c r="E52" s="14">
        <f t="shared" si="5"/>
        <v>102.30062649999999</v>
      </c>
      <c r="F52" s="14">
        <f t="shared" si="5"/>
        <v>103.22133213849999</v>
      </c>
      <c r="G52" s="14">
        <f t="shared" si="5"/>
        <v>106.73085743120899</v>
      </c>
      <c r="H52" s="14">
        <f t="shared" si="5"/>
        <v>109.93278315414526</v>
      </c>
      <c r="I52" s="14">
        <f t="shared" si="5"/>
        <v>112.90096829930717</v>
      </c>
      <c r="J52" s="14">
        <f t="shared" si="5"/>
        <v>115.72349250678984</v>
      </c>
      <c r="K52" s="14">
        <f t="shared" si="5"/>
        <v>120.12098522204785</v>
      </c>
      <c r="L52" s="14">
        <f t="shared" si="5"/>
        <v>116.27711369494232</v>
      </c>
      <c r="M52" s="14">
        <f t="shared" si="5"/>
        <v>125.34672856314782</v>
      </c>
      <c r="N52" s="14">
        <f t="shared" si="5"/>
        <v>130.36059770567374</v>
      </c>
      <c r="O52" s="14">
        <f t="shared" si="5"/>
        <v>132.83744906208153</v>
      </c>
      <c r="P52" s="14">
        <f t="shared" si="5"/>
        <v>136.55689763581981</v>
      </c>
      <c r="Q52" s="14">
        <f t="shared" si="5"/>
        <v>140.65360456489441</v>
      </c>
      <c r="R52" s="14">
        <f t="shared" si="5"/>
        <v>145.01386630640613</v>
      </c>
      <c r="S52" s="14">
        <f t="shared" si="5"/>
        <v>149.07425456298552</v>
      </c>
      <c r="T52" s="14">
        <f t="shared" si="5"/>
        <v>153.09925943618612</v>
      </c>
      <c r="U52" s="14">
        <f t="shared" si="5"/>
        <v>157.07984018152695</v>
      </c>
      <c r="V52" s="14">
        <f t="shared" si="5"/>
        <v>161.16391602624665</v>
      </c>
    </row>
    <row r="53" spans="1:22" x14ac:dyDescent="0.3">
      <c r="A53" t="s">
        <v>5</v>
      </c>
      <c r="B53" s="14">
        <v>100</v>
      </c>
      <c r="C53" s="14">
        <f t="shared" ref="C53:V53" si="6">B53*(1+(C30/100))</f>
        <v>99.9</v>
      </c>
      <c r="D53" s="14">
        <f t="shared" si="6"/>
        <v>97.6023</v>
      </c>
      <c r="E53" s="14">
        <f t="shared" si="6"/>
        <v>97.504697699999994</v>
      </c>
      <c r="F53" s="14">
        <f t="shared" si="6"/>
        <v>96.919669513799988</v>
      </c>
      <c r="G53" s="14">
        <f t="shared" si="6"/>
        <v>99.148821912617379</v>
      </c>
      <c r="H53" s="14">
        <f t="shared" si="6"/>
        <v>102.61903067955897</v>
      </c>
      <c r="I53" s="14">
        <f t="shared" si="6"/>
        <v>106.00545869198442</v>
      </c>
      <c r="J53" s="14">
        <f t="shared" si="6"/>
        <v>109.07961699405196</v>
      </c>
      <c r="K53" s="14">
        <f t="shared" si="6"/>
        <v>112.46108512086757</v>
      </c>
      <c r="L53" s="14">
        <f t="shared" si="6"/>
        <v>103.12681505583556</v>
      </c>
      <c r="M53" s="14">
        <f t="shared" si="6"/>
        <v>116.12079375287084</v>
      </c>
      <c r="N53" s="14">
        <f t="shared" si="6"/>
        <v>124.5976116968304</v>
      </c>
      <c r="O53" s="14">
        <f t="shared" si="6"/>
        <v>128.70933288282581</v>
      </c>
      <c r="P53" s="14">
        <f t="shared" si="6"/>
        <v>133.72899686525599</v>
      </c>
      <c r="Q53" s="14">
        <f t="shared" si="6"/>
        <v>137.8745957680789</v>
      </c>
      <c r="R53" s="14">
        <f t="shared" si="6"/>
        <v>141.59720985381702</v>
      </c>
      <c r="S53" s="14">
        <f t="shared" si="6"/>
        <v>145.27873731001625</v>
      </c>
      <c r="T53" s="14">
        <f t="shared" si="6"/>
        <v>149.05598448007669</v>
      </c>
      <c r="U53" s="14">
        <f t="shared" si="6"/>
        <v>152.78238409207859</v>
      </c>
      <c r="V53" s="14">
        <f t="shared" si="6"/>
        <v>156.60194369438054</v>
      </c>
    </row>
    <row r="54" spans="1:22" x14ac:dyDescent="0.3">
      <c r="A54" t="s">
        <v>6</v>
      </c>
      <c r="B54" s="14">
        <v>100</v>
      </c>
      <c r="C54" s="14">
        <f t="shared" ref="C54:V54" si="7">B54*(1+(C31/100))</f>
        <v>101.8</v>
      </c>
      <c r="D54" s="14">
        <f t="shared" si="7"/>
        <v>100.98559999999999</v>
      </c>
      <c r="E54" s="14">
        <f t="shared" si="7"/>
        <v>100.98559999999999</v>
      </c>
      <c r="F54" s="14">
        <f t="shared" si="7"/>
        <v>103.20728319999999</v>
      </c>
      <c r="G54" s="14">
        <f t="shared" si="7"/>
        <v>108.36764735999999</v>
      </c>
      <c r="H54" s="14">
        <f t="shared" si="7"/>
        <v>111.18520619136</v>
      </c>
      <c r="I54" s="14">
        <f t="shared" si="7"/>
        <v>116.96683691331071</v>
      </c>
      <c r="J54" s="14">
        <f t="shared" si="7"/>
        <v>120.24190834688342</v>
      </c>
      <c r="K54" s="14">
        <f t="shared" si="7"/>
        <v>124.57061704737123</v>
      </c>
      <c r="L54" s="14">
        <f t="shared" si="7"/>
        <v>117.96837434386055</v>
      </c>
      <c r="M54" s="14">
        <f t="shared" si="7"/>
        <v>122.68710931761497</v>
      </c>
      <c r="N54" s="14">
        <f t="shared" si="7"/>
        <v>126.12234837850819</v>
      </c>
      <c r="O54" s="14">
        <f t="shared" si="7"/>
        <v>126.12234837850819</v>
      </c>
      <c r="P54" s="14">
        <f t="shared" si="7"/>
        <v>127.6358165590503</v>
      </c>
      <c r="Q54" s="14">
        <f t="shared" si="7"/>
        <v>130.57144033990843</v>
      </c>
      <c r="R54" s="14">
        <f t="shared" si="7"/>
        <v>133.18286914670659</v>
      </c>
      <c r="S54" s="14">
        <f t="shared" si="7"/>
        <v>135.84652652964073</v>
      </c>
      <c r="T54" s="14">
        <f t="shared" si="7"/>
        <v>138.56345706023353</v>
      </c>
      <c r="U54" s="14">
        <f t="shared" si="7"/>
        <v>141.3347262014382</v>
      </c>
      <c r="V54" s="14">
        <f t="shared" si="7"/>
        <v>144.16142072546697</v>
      </c>
    </row>
    <row r="55" spans="1:22" x14ac:dyDescent="0.3">
      <c r="A55" t="s">
        <v>7</v>
      </c>
      <c r="B55" s="14">
        <v>100</v>
      </c>
      <c r="C55" s="14">
        <f t="shared" ref="C55:V55" si="8">B55*(1+(C32/100))</f>
        <v>107.60000000000001</v>
      </c>
      <c r="D55" s="14">
        <f t="shared" si="8"/>
        <v>111.5812</v>
      </c>
      <c r="E55" s="14">
        <f t="shared" si="8"/>
        <v>113.5896616</v>
      </c>
      <c r="F55" s="14">
        <f t="shared" si="8"/>
        <v>117.3381204328</v>
      </c>
      <c r="G55" s="14">
        <f t="shared" si="8"/>
        <v>119.45020660059041</v>
      </c>
      <c r="H55" s="14">
        <f t="shared" si="8"/>
        <v>123.1531630052087</v>
      </c>
      <c r="I55" s="14">
        <f t="shared" si="8"/>
        <v>130.04974013350039</v>
      </c>
      <c r="J55" s="14">
        <f t="shared" si="8"/>
        <v>134.86158051843989</v>
      </c>
      <c r="K55" s="14">
        <f t="shared" si="8"/>
        <v>139.85145899762216</v>
      </c>
      <c r="L55" s="14">
        <f t="shared" si="8"/>
        <v>135.79576668669111</v>
      </c>
      <c r="M55" s="14">
        <f t="shared" si="8"/>
        <v>147.06681532168648</v>
      </c>
      <c r="N55" s="14">
        <f t="shared" si="8"/>
        <v>145.30201353782624</v>
      </c>
      <c r="O55" s="14">
        <f t="shared" si="8"/>
        <v>141.37885917230494</v>
      </c>
      <c r="P55" s="14">
        <f t="shared" si="8"/>
        <v>141.23748031313264</v>
      </c>
      <c r="Q55" s="14">
        <f t="shared" si="8"/>
        <v>141.94366771469828</v>
      </c>
      <c r="R55" s="14">
        <f t="shared" si="8"/>
        <v>144.07282273041875</v>
      </c>
      <c r="S55" s="14">
        <f t="shared" si="8"/>
        <v>146.66613353956629</v>
      </c>
      <c r="T55" s="14">
        <f t="shared" si="8"/>
        <v>149.30612394327849</v>
      </c>
      <c r="U55" s="14">
        <f t="shared" si="8"/>
        <v>151.99363417425752</v>
      </c>
      <c r="V55" s="14">
        <f t="shared" si="8"/>
        <v>154.5775259552199</v>
      </c>
    </row>
    <row r="56" spans="1:22" x14ac:dyDescent="0.3">
      <c r="A56" t="s">
        <v>8</v>
      </c>
      <c r="B56" s="14">
        <v>100</v>
      </c>
      <c r="C56" s="14">
        <f t="shared" ref="C56:V56" si="9">B56*(1+(C33/100))</f>
        <v>107.89999999999999</v>
      </c>
      <c r="D56" s="14">
        <f t="shared" si="9"/>
        <v>115.0214</v>
      </c>
      <c r="E56" s="14">
        <f t="shared" si="9"/>
        <v>120.88749139999999</v>
      </c>
      <c r="F56" s="14">
        <f t="shared" si="9"/>
        <v>125.84387854739998</v>
      </c>
      <c r="G56" s="14">
        <f t="shared" si="9"/>
        <v>130.12257041801158</v>
      </c>
      <c r="H56" s="14">
        <f t="shared" si="9"/>
        <v>134.54673781222397</v>
      </c>
      <c r="I56" s="14">
        <f t="shared" si="9"/>
        <v>141.54316817845961</v>
      </c>
      <c r="J56" s="14">
        <f t="shared" si="9"/>
        <v>150.17730143734565</v>
      </c>
      <c r="K56" s="14">
        <f t="shared" si="9"/>
        <v>158.28687571496232</v>
      </c>
      <c r="L56" s="14">
        <f t="shared" si="9"/>
        <v>148.3148025449197</v>
      </c>
      <c r="M56" s="14">
        <f t="shared" si="9"/>
        <v>164.03617161468119</v>
      </c>
      <c r="N56" s="14">
        <f t="shared" si="9"/>
        <v>182.08015049229616</v>
      </c>
      <c r="O56" s="14">
        <f t="shared" si="9"/>
        <v>196.28240223069525</v>
      </c>
      <c r="P56" s="14">
        <f t="shared" si="9"/>
        <v>214.73294804038062</v>
      </c>
      <c r="Q56" s="14">
        <f t="shared" si="9"/>
        <v>230.19372029928803</v>
      </c>
      <c r="R56" s="14">
        <f t="shared" si="9"/>
        <v>242.39398747515028</v>
      </c>
      <c r="S56" s="14">
        <f t="shared" si="9"/>
        <v>254.51368684890781</v>
      </c>
      <c r="T56" s="14">
        <f t="shared" si="9"/>
        <v>267.2393711913532</v>
      </c>
      <c r="U56" s="14">
        <f t="shared" si="9"/>
        <v>280.60133975092089</v>
      </c>
      <c r="V56" s="14">
        <f t="shared" si="9"/>
        <v>294.63140673846692</v>
      </c>
    </row>
    <row r="57" spans="1:22" x14ac:dyDescent="0.3">
      <c r="A57" t="s">
        <v>9</v>
      </c>
      <c r="B57" s="14">
        <v>100</v>
      </c>
      <c r="C57" s="14">
        <f t="shared" ref="C57:V57" si="10">B57*(1+(C34/100))</f>
        <v>101.89999999999999</v>
      </c>
      <c r="D57" s="14">
        <f t="shared" si="10"/>
        <v>100.57529999999998</v>
      </c>
      <c r="E57" s="14">
        <f t="shared" si="10"/>
        <v>102.58680599999998</v>
      </c>
      <c r="F57" s="14">
        <f t="shared" si="10"/>
        <v>106.99803865799997</v>
      </c>
      <c r="G57" s="14">
        <f t="shared" si="10"/>
        <v>110.95696608834596</v>
      </c>
      <c r="H57" s="14">
        <f t="shared" si="10"/>
        <v>113.61993327446628</v>
      </c>
      <c r="I57" s="14">
        <f t="shared" si="10"/>
        <v>118.27835053871938</v>
      </c>
      <c r="J57" s="14">
        <f t="shared" si="10"/>
        <v>124.90193816888767</v>
      </c>
      <c r="K57" s="14">
        <f t="shared" si="10"/>
        <v>131.27193701550092</v>
      </c>
      <c r="L57" s="14">
        <f t="shared" si="10"/>
        <v>125.62724372383438</v>
      </c>
      <c r="M57" s="14">
        <f t="shared" si="10"/>
        <v>134.67240527195045</v>
      </c>
      <c r="N57" s="14">
        <f t="shared" si="10"/>
        <v>140.46331869864431</v>
      </c>
      <c r="O57" s="14">
        <f t="shared" si="10"/>
        <v>139.33961214905517</v>
      </c>
      <c r="P57" s="14">
        <f t="shared" si="10"/>
        <v>140.03631020980043</v>
      </c>
      <c r="Q57" s="14">
        <f t="shared" si="10"/>
        <v>140.87652807105923</v>
      </c>
      <c r="R57" s="14">
        <f t="shared" si="10"/>
        <v>143.83493516055145</v>
      </c>
      <c r="S57" s="14">
        <f t="shared" si="10"/>
        <v>147.14313866924411</v>
      </c>
      <c r="T57" s="14">
        <f t="shared" si="10"/>
        <v>150.67457399730597</v>
      </c>
      <c r="U57" s="14">
        <f t="shared" si="10"/>
        <v>154.4414383472386</v>
      </c>
      <c r="V57" s="14">
        <f t="shared" si="10"/>
        <v>158.30247430591956</v>
      </c>
    </row>
    <row r="58" spans="1:22" x14ac:dyDescent="0.3">
      <c r="A58" t="s">
        <v>10</v>
      </c>
      <c r="B58" s="14">
        <v>100</v>
      </c>
      <c r="C58" s="14">
        <f t="shared" ref="C58:V58" si="11">B58*(1+(C35/100))</f>
        <v>103</v>
      </c>
      <c r="D58" s="14">
        <f t="shared" si="11"/>
        <v>110.51899999999999</v>
      </c>
      <c r="E58" s="14">
        <f t="shared" si="11"/>
        <v>112.83989899999997</v>
      </c>
      <c r="F58" s="14">
        <f t="shared" si="11"/>
        <v>115.20953687899997</v>
      </c>
      <c r="G58" s="14">
        <f t="shared" si="11"/>
        <v>119.58749928040197</v>
      </c>
      <c r="H58" s="14">
        <f t="shared" si="11"/>
        <v>122.69677426169243</v>
      </c>
      <c r="I58" s="14">
        <f t="shared" si="11"/>
        <v>126.86846458658997</v>
      </c>
      <c r="J58" s="14">
        <f t="shared" si="11"/>
        <v>132.32380856381332</v>
      </c>
      <c r="K58" s="14">
        <f t="shared" si="11"/>
        <v>133.25007522376001</v>
      </c>
      <c r="L58" s="14">
        <f t="shared" si="11"/>
        <v>128.5863225909284</v>
      </c>
      <c r="M58" s="14">
        <f t="shared" si="11"/>
        <v>137.45877884970247</v>
      </c>
      <c r="N58" s="14">
        <f t="shared" si="11"/>
        <v>139.93303686899711</v>
      </c>
      <c r="O58" s="14">
        <f t="shared" si="11"/>
        <v>143.99109493819802</v>
      </c>
      <c r="P58" s="14">
        <f t="shared" si="11"/>
        <v>143.41513055844521</v>
      </c>
      <c r="Q58" s="14">
        <f t="shared" si="11"/>
        <v>144.84928186402968</v>
      </c>
      <c r="R58" s="14">
        <f t="shared" si="11"/>
        <v>148.03596606503834</v>
      </c>
      <c r="S58" s="14">
        <f t="shared" si="11"/>
        <v>151.58882925059925</v>
      </c>
      <c r="T58" s="14">
        <f t="shared" si="11"/>
        <v>155.22696115261363</v>
      </c>
      <c r="U58" s="14">
        <f t="shared" si="11"/>
        <v>158.95240822027637</v>
      </c>
      <c r="V58" s="14">
        <f t="shared" si="11"/>
        <v>162.767266017563</v>
      </c>
    </row>
    <row r="59" spans="1:22" x14ac:dyDescent="0.3">
      <c r="A59" t="s">
        <v>11</v>
      </c>
      <c r="B59" s="14">
        <v>100</v>
      </c>
      <c r="C59" s="14">
        <f t="shared" ref="C59:V59" si="12">B59*(1+(C36/100))</f>
        <v>106.3</v>
      </c>
      <c r="D59" s="14">
        <f t="shared" si="12"/>
        <v>110.9772</v>
      </c>
      <c r="E59" s="14">
        <f t="shared" si="12"/>
        <v>115.52726519999999</v>
      </c>
      <c r="F59" s="14">
        <f t="shared" si="12"/>
        <v>119.91730127759999</v>
      </c>
      <c r="G59" s="14">
        <f t="shared" si="12"/>
        <v>123.27498571337279</v>
      </c>
      <c r="H59" s="14">
        <f t="shared" si="12"/>
        <v>126.48013534192049</v>
      </c>
      <c r="I59" s="14">
        <f t="shared" si="12"/>
        <v>132.42470170299075</v>
      </c>
      <c r="J59" s="14">
        <f t="shared" si="12"/>
        <v>138.78108738473432</v>
      </c>
      <c r="K59" s="14">
        <f t="shared" si="12"/>
        <v>145.30379849181682</v>
      </c>
      <c r="L59" s="14">
        <f t="shared" si="12"/>
        <v>145.30379849181682</v>
      </c>
      <c r="M59" s="14">
        <f t="shared" si="12"/>
        <v>154.6032415952931</v>
      </c>
      <c r="N59" s="14">
        <f t="shared" si="12"/>
        <v>158.46832263517541</v>
      </c>
      <c r="O59" s="14">
        <f t="shared" si="12"/>
        <v>159.1021959257161</v>
      </c>
      <c r="P59" s="14">
        <f t="shared" si="12"/>
        <v>163.39795521571043</v>
      </c>
      <c r="Q59" s="14">
        <f t="shared" si="12"/>
        <v>167.8097000065346</v>
      </c>
      <c r="R59" s="14">
        <f t="shared" si="12"/>
        <v>172.67618130672409</v>
      </c>
      <c r="S59" s="14">
        <f t="shared" si="12"/>
        <v>176.30238111416529</v>
      </c>
      <c r="T59" s="14">
        <f t="shared" si="12"/>
        <v>180.7099406420194</v>
      </c>
      <c r="U59" s="14">
        <f t="shared" si="12"/>
        <v>185.22768915806986</v>
      </c>
      <c r="V59" s="14">
        <f t="shared" si="12"/>
        <v>189.85838138702158</v>
      </c>
    </row>
    <row r="60" spans="1:22" x14ac:dyDescent="0.3">
      <c r="A60" t="s">
        <v>12</v>
      </c>
      <c r="B60" s="14">
        <v>100</v>
      </c>
      <c r="C60" s="14">
        <f t="shared" ref="C60:V60" si="13">B60*(1+(C37/100))</f>
        <v>105.80000000000001</v>
      </c>
      <c r="D60" s="14">
        <f t="shared" si="13"/>
        <v>105.16520000000001</v>
      </c>
      <c r="E60" s="14">
        <f t="shared" si="13"/>
        <v>114.63006800000002</v>
      </c>
      <c r="F60" s="14">
        <f t="shared" si="13"/>
        <v>120.36157140000003</v>
      </c>
      <c r="G60" s="14">
        <f t="shared" si="13"/>
        <v>119.51904040020003</v>
      </c>
      <c r="H60" s="14">
        <f t="shared" si="13"/>
        <v>125.01691625860923</v>
      </c>
      <c r="I60" s="14">
        <f t="shared" si="13"/>
        <v>130.26762674147082</v>
      </c>
      <c r="J60" s="14">
        <f t="shared" si="13"/>
        <v>135.60859943787111</v>
      </c>
      <c r="K60" s="14">
        <f t="shared" si="13"/>
        <v>140.49050901763448</v>
      </c>
      <c r="L60" s="14">
        <f t="shared" si="13"/>
        <v>128.82979676917083</v>
      </c>
      <c r="M60" s="14">
        <f t="shared" si="13"/>
        <v>146.73713852008558</v>
      </c>
      <c r="N60" s="14">
        <f t="shared" si="13"/>
        <v>139.98723014816164</v>
      </c>
      <c r="O60" s="14">
        <f t="shared" si="13"/>
        <v>141.6670769099396</v>
      </c>
      <c r="P60" s="14">
        <f t="shared" si="13"/>
        <v>141.80874398684952</v>
      </c>
      <c r="Q60" s="14">
        <f t="shared" si="13"/>
        <v>144.21949263462594</v>
      </c>
      <c r="R60" s="14">
        <f t="shared" si="13"/>
        <v>147.3923214725877</v>
      </c>
      <c r="S60" s="14">
        <f t="shared" si="13"/>
        <v>152.55105272412825</v>
      </c>
      <c r="T60" s="14">
        <f t="shared" si="13"/>
        <v>158.195441674921</v>
      </c>
      <c r="U60" s="14">
        <f t="shared" si="13"/>
        <v>164.04867301689308</v>
      </c>
      <c r="V60" s="14">
        <f t="shared" si="13"/>
        <v>169.79037657248432</v>
      </c>
    </row>
    <row r="61" spans="1:22" x14ac:dyDescent="0.3">
      <c r="A61" t="s">
        <v>13</v>
      </c>
      <c r="B61" s="14">
        <v>100</v>
      </c>
      <c r="C61" s="14">
        <f t="shared" ref="C61:V61" si="14">B61*(1+(C38/100))</f>
        <v>103.4</v>
      </c>
      <c r="D61" s="14">
        <f t="shared" si="14"/>
        <v>100.815</v>
      </c>
      <c r="E61" s="14">
        <f t="shared" si="14"/>
        <v>104.24271</v>
      </c>
      <c r="F61" s="14">
        <f t="shared" si="14"/>
        <v>106.74453504</v>
      </c>
      <c r="G61" s="14">
        <f t="shared" si="14"/>
        <v>109.413148416</v>
      </c>
      <c r="H61" s="14">
        <f t="shared" si="14"/>
        <v>113.133195462144</v>
      </c>
      <c r="I61" s="14">
        <f t="shared" si="14"/>
        <v>116.75345771693262</v>
      </c>
      <c r="J61" s="14">
        <f t="shared" si="14"/>
        <v>122.24087022962844</v>
      </c>
      <c r="K61" s="14">
        <f t="shared" si="14"/>
        <v>127.6194685197321</v>
      </c>
      <c r="L61" s="14">
        <f t="shared" si="14"/>
        <v>108.47654824177228</v>
      </c>
      <c r="M61" s="14">
        <f t="shared" si="14"/>
        <v>122.57849951320266</v>
      </c>
      <c r="N61" s="14">
        <f t="shared" si="14"/>
        <v>132.01704397571925</v>
      </c>
      <c r="O61" s="14">
        <f t="shared" si="14"/>
        <v>140.59815183414099</v>
      </c>
      <c r="P61" s="14">
        <f t="shared" si="14"/>
        <v>145.09729269283352</v>
      </c>
      <c r="Q61" s="14">
        <f t="shared" si="14"/>
        <v>149.74040605900419</v>
      </c>
      <c r="R61" s="14">
        <f t="shared" si="14"/>
        <v>154.53209905289233</v>
      </c>
      <c r="S61" s="14">
        <f t="shared" si="14"/>
        <v>159.1680620244791</v>
      </c>
      <c r="T61" s="14">
        <f t="shared" si="14"/>
        <v>163.94310388521347</v>
      </c>
      <c r="U61" s="14">
        <f t="shared" si="14"/>
        <v>168.86139700176989</v>
      </c>
      <c r="V61" s="14">
        <f t="shared" si="14"/>
        <v>173.927238911823</v>
      </c>
    </row>
    <row r="62" spans="1:22" x14ac:dyDescent="0.3">
      <c r="A62" t="s">
        <v>14</v>
      </c>
      <c r="B62" s="14">
        <v>100</v>
      </c>
      <c r="C62" s="14">
        <f t="shared" ref="C62:V62" si="15">B62*(1+(C39/100))</f>
        <v>102.3</v>
      </c>
      <c r="D62" s="14">
        <f t="shared" si="15"/>
        <v>101.7885</v>
      </c>
      <c r="E62" s="14">
        <f t="shared" si="15"/>
        <v>104.74036649999999</v>
      </c>
      <c r="F62" s="14">
        <f t="shared" si="15"/>
        <v>108.511019694</v>
      </c>
      <c r="G62" s="14">
        <f t="shared" si="15"/>
        <v>112.74294946206599</v>
      </c>
      <c r="H62" s="14">
        <f t="shared" si="15"/>
        <v>115.89975204700384</v>
      </c>
      <c r="I62" s="14">
        <f t="shared" si="15"/>
        <v>117.17464931952088</v>
      </c>
      <c r="J62" s="14">
        <f t="shared" si="15"/>
        <v>120.57271414978698</v>
      </c>
      <c r="K62" s="14">
        <f t="shared" si="15"/>
        <v>125.27505000162866</v>
      </c>
      <c r="L62" s="14">
        <f t="shared" si="15"/>
        <v>119.3871226515521</v>
      </c>
      <c r="M62" s="14">
        <f t="shared" si="15"/>
        <v>124.75954317087194</v>
      </c>
      <c r="N62" s="14">
        <f t="shared" si="15"/>
        <v>128.25281037965635</v>
      </c>
      <c r="O62" s="14">
        <f t="shared" si="15"/>
        <v>130.94611939762913</v>
      </c>
      <c r="P62" s="14">
        <f t="shared" si="15"/>
        <v>134.61261074076276</v>
      </c>
      <c r="Q62" s="14">
        <f t="shared" si="15"/>
        <v>139.18943950594871</v>
      </c>
      <c r="R62" s="14">
        <f t="shared" si="15"/>
        <v>143.64350157013908</v>
      </c>
      <c r="S62" s="14">
        <f t="shared" si="15"/>
        <v>148.24009362038353</v>
      </c>
      <c r="T62" s="14">
        <f t="shared" si="15"/>
        <v>152.8355365226154</v>
      </c>
      <c r="U62" s="14">
        <f t="shared" si="15"/>
        <v>157.57343815481647</v>
      </c>
      <c r="V62" s="14">
        <f t="shared" si="15"/>
        <v>162.30064129946098</v>
      </c>
    </row>
    <row r="63" spans="1:22" x14ac:dyDescent="0.3">
      <c r="A63" t="s">
        <v>15</v>
      </c>
      <c r="B63" s="14">
        <v>100</v>
      </c>
      <c r="C63" s="14">
        <f t="shared" ref="C63:V63" si="16">B63*(1+(C40/100))</f>
        <v>105.3</v>
      </c>
      <c r="D63" s="14">
        <f t="shared" si="16"/>
        <v>106.87949999999999</v>
      </c>
      <c r="E63" s="14">
        <f t="shared" si="16"/>
        <v>107.62765649999999</v>
      </c>
      <c r="F63" s="14">
        <f t="shared" si="16"/>
        <v>111.82513510349997</v>
      </c>
      <c r="G63" s="14">
        <f t="shared" si="16"/>
        <v>116.74544104805398</v>
      </c>
      <c r="H63" s="14">
        <f t="shared" si="16"/>
        <v>120.2478042794956</v>
      </c>
      <c r="I63" s="14">
        <f t="shared" si="16"/>
        <v>126.50069010202937</v>
      </c>
      <c r="J63" s="14">
        <f t="shared" si="16"/>
        <v>134.34373288835519</v>
      </c>
      <c r="K63" s="14">
        <f t="shared" si="16"/>
        <v>140.52354460121953</v>
      </c>
      <c r="L63" s="14">
        <f t="shared" si="16"/>
        <v>137.71307370919513</v>
      </c>
      <c r="M63" s="14">
        <f t="shared" si="16"/>
        <v>147.2152757951296</v>
      </c>
      <c r="N63" s="14">
        <f t="shared" si="16"/>
        <v>155.01768541227145</v>
      </c>
      <c r="O63" s="14">
        <f t="shared" si="16"/>
        <v>155.327720783096</v>
      </c>
      <c r="P63" s="14">
        <f t="shared" si="16"/>
        <v>159.83222468580576</v>
      </c>
      <c r="Q63" s="14">
        <f t="shared" si="16"/>
        <v>164.94685587575154</v>
      </c>
      <c r="R63" s="14">
        <f t="shared" si="16"/>
        <v>170.06020840789984</v>
      </c>
      <c r="S63" s="14">
        <f t="shared" si="16"/>
        <v>174.99195445172893</v>
      </c>
      <c r="T63" s="14">
        <f t="shared" si="16"/>
        <v>179.89172917637734</v>
      </c>
      <c r="U63" s="14">
        <f t="shared" si="16"/>
        <v>184.74880586413951</v>
      </c>
      <c r="V63" s="14">
        <f t="shared" si="16"/>
        <v>189.55227481660714</v>
      </c>
    </row>
    <row r="64" spans="1:22" x14ac:dyDescent="0.3">
      <c r="A64" t="s">
        <v>16</v>
      </c>
      <c r="B64" s="14">
        <v>100</v>
      </c>
      <c r="C64" s="14">
        <f t="shared" ref="C64:V64" si="17">B64*(1+(C41/100))</f>
        <v>104.5</v>
      </c>
      <c r="D64" s="14">
        <f t="shared" si="17"/>
        <v>106.48549999999999</v>
      </c>
      <c r="E64" s="14">
        <f t="shared" si="17"/>
        <v>106.80495649999997</v>
      </c>
      <c r="F64" s="14">
        <f t="shared" si="17"/>
        <v>111.18395971649997</v>
      </c>
      <c r="G64" s="14">
        <f t="shared" si="17"/>
        <v>114.74184642742797</v>
      </c>
      <c r="H64" s="14">
        <f t="shared" si="17"/>
        <v>118.06935997382337</v>
      </c>
      <c r="I64" s="14">
        <f t="shared" si="17"/>
        <v>127.75104749167689</v>
      </c>
      <c r="J64" s="14">
        <f t="shared" si="17"/>
        <v>135.54386138866917</v>
      </c>
      <c r="K64" s="14">
        <f t="shared" si="17"/>
        <v>140.83007198282726</v>
      </c>
      <c r="L64" s="14">
        <f t="shared" si="17"/>
        <v>135.61935931946266</v>
      </c>
      <c r="M64" s="14">
        <f t="shared" si="17"/>
        <v>143.07842408203311</v>
      </c>
      <c r="N64" s="14">
        <f t="shared" si="17"/>
        <v>148.80156104531443</v>
      </c>
      <c r="O64" s="14">
        <f t="shared" si="17"/>
        <v>152.37279851040199</v>
      </c>
      <c r="P64" s="14">
        <f t="shared" si="17"/>
        <v>153.59178089848521</v>
      </c>
      <c r="Q64" s="14">
        <f t="shared" si="17"/>
        <v>155.12769870747007</v>
      </c>
      <c r="R64" s="14">
        <f t="shared" si="17"/>
        <v>157.29948648937466</v>
      </c>
      <c r="S64" s="14">
        <f t="shared" si="17"/>
        <v>161.54657262458775</v>
      </c>
      <c r="T64" s="14">
        <f t="shared" si="17"/>
        <v>166.23142323070078</v>
      </c>
      <c r="U64" s="14">
        <f t="shared" si="17"/>
        <v>171.38459735085249</v>
      </c>
      <c r="V64" s="14">
        <f t="shared" si="17"/>
        <v>177.04028906343061</v>
      </c>
    </row>
    <row r="65" spans="1:24" x14ac:dyDescent="0.3">
      <c r="A65" t="s">
        <v>17</v>
      </c>
      <c r="B65" s="14">
        <v>100</v>
      </c>
      <c r="C65" s="14">
        <f t="shared" ref="C65:V65" si="18">B65*(1+(C42/100))</f>
        <v>100.1</v>
      </c>
      <c r="D65" s="14">
        <f t="shared" si="18"/>
        <v>99.69959999999999</v>
      </c>
      <c r="E65" s="14">
        <f t="shared" si="18"/>
        <v>100.19809799999997</v>
      </c>
      <c r="F65" s="14">
        <f t="shared" si="18"/>
        <v>98.394532235999975</v>
      </c>
      <c r="G65" s="14">
        <f t="shared" si="18"/>
        <v>99.673661155067961</v>
      </c>
      <c r="H65" s="14">
        <f t="shared" si="18"/>
        <v>102.66387098972</v>
      </c>
      <c r="I65" s="14">
        <f t="shared" si="18"/>
        <v>105.12780389347328</v>
      </c>
      <c r="J65" s="14">
        <f t="shared" si="18"/>
        <v>109.96368287257306</v>
      </c>
      <c r="K65" s="14">
        <f t="shared" si="18"/>
        <v>115.24193965045657</v>
      </c>
      <c r="L65" s="14">
        <f t="shared" si="18"/>
        <v>114.089520253952</v>
      </c>
      <c r="M65" s="14">
        <f t="shared" si="18"/>
        <v>123.10259235401421</v>
      </c>
      <c r="N65" s="14">
        <f t="shared" si="18"/>
        <v>126.30325975521858</v>
      </c>
      <c r="O65" s="14">
        <f t="shared" si="18"/>
        <v>131.10278362591689</v>
      </c>
      <c r="P65" s="14">
        <f t="shared" si="18"/>
        <v>136.21579218732762</v>
      </c>
      <c r="Q65" s="14">
        <f t="shared" si="18"/>
        <v>139.48497119982349</v>
      </c>
      <c r="R65" s="14">
        <f t="shared" si="18"/>
        <v>144.50643016301714</v>
      </c>
      <c r="S65" s="14">
        <f t="shared" si="18"/>
        <v>151.15372595051593</v>
      </c>
      <c r="T65" s="14">
        <f t="shared" si="18"/>
        <v>156.89756753663553</v>
      </c>
      <c r="U65" s="14">
        <f t="shared" si="18"/>
        <v>163.17347023810098</v>
      </c>
      <c r="V65" s="14">
        <f t="shared" si="18"/>
        <v>169.70040904762502</v>
      </c>
    </row>
    <row r="66" spans="1:24" x14ac:dyDescent="0.3">
      <c r="A66" t="s">
        <v>18</v>
      </c>
      <c r="B66" s="14">
        <v>100</v>
      </c>
      <c r="C66" s="14">
        <f t="shared" ref="C66:V66" si="19">B66*(1+(C43/100))</f>
        <v>102.60000000000001</v>
      </c>
      <c r="D66" s="14">
        <f t="shared" si="19"/>
        <v>104.24160000000001</v>
      </c>
      <c r="E66" s="14">
        <f t="shared" si="19"/>
        <v>104.9712912</v>
      </c>
      <c r="F66" s="14">
        <f t="shared" si="19"/>
        <v>107.80551606239999</v>
      </c>
      <c r="G66" s="14">
        <f t="shared" si="19"/>
        <v>113.41140289764479</v>
      </c>
      <c r="H66" s="14">
        <f t="shared" si="19"/>
        <v>115.56621955270003</v>
      </c>
      <c r="I66" s="14">
        <f t="shared" si="19"/>
        <v>118.91763991972833</v>
      </c>
      <c r="J66" s="14">
        <f t="shared" si="19"/>
        <v>123.79326315643718</v>
      </c>
      <c r="K66" s="14">
        <f t="shared" si="19"/>
        <v>126.64050820903522</v>
      </c>
      <c r="L66" s="14">
        <f t="shared" si="19"/>
        <v>123.3478549956003</v>
      </c>
      <c r="M66" s="14">
        <f t="shared" si="19"/>
        <v>130.37868273034951</v>
      </c>
      <c r="N66" s="14">
        <f t="shared" si="19"/>
        <v>130.90019746127092</v>
      </c>
      <c r="O66" s="14">
        <f t="shared" si="19"/>
        <v>133.78000180541889</v>
      </c>
      <c r="P66" s="14">
        <f t="shared" si="19"/>
        <v>136.58938184333269</v>
      </c>
      <c r="Q66" s="14">
        <f t="shared" si="19"/>
        <v>137.81868627992267</v>
      </c>
      <c r="R66" s="14">
        <f t="shared" si="19"/>
        <v>140.16160394668134</v>
      </c>
      <c r="S66" s="14">
        <f t="shared" si="19"/>
        <v>143.66564404534836</v>
      </c>
      <c r="T66" s="14">
        <f t="shared" si="19"/>
        <v>147.25728514648205</v>
      </c>
      <c r="U66" s="14">
        <f t="shared" si="19"/>
        <v>150.49694541970464</v>
      </c>
      <c r="V66" s="14">
        <f t="shared" si="19"/>
        <v>153.65738127351844</v>
      </c>
    </row>
    <row r="67" spans="1:24" x14ac:dyDescent="0.3">
      <c r="A67" t="s">
        <v>19</v>
      </c>
      <c r="B67" s="14">
        <v>100</v>
      </c>
      <c r="C67" s="14">
        <f t="shared" ref="C67:V67" si="20">B67*(1+(C44/100))</f>
        <v>100.69999999999999</v>
      </c>
      <c r="D67" s="14">
        <f t="shared" si="20"/>
        <v>97.779699999999991</v>
      </c>
      <c r="E67" s="14">
        <f t="shared" si="20"/>
        <v>96.997462399999989</v>
      </c>
      <c r="F67" s="14">
        <f t="shared" si="20"/>
        <v>99.713391347199988</v>
      </c>
      <c r="G67" s="14">
        <f t="shared" si="20"/>
        <v>102.10651273953279</v>
      </c>
      <c r="H67" s="14">
        <f t="shared" si="20"/>
        <v>105.16970812171877</v>
      </c>
      <c r="I67" s="14">
        <f t="shared" si="20"/>
        <v>110.63853294404815</v>
      </c>
      <c r="J67" s="14">
        <f t="shared" si="20"/>
        <v>115.50662839358627</v>
      </c>
      <c r="K67" s="14">
        <f t="shared" si="20"/>
        <v>119.54936038736177</v>
      </c>
      <c r="L67" s="14">
        <f t="shared" si="20"/>
        <v>114.64783661147993</v>
      </c>
      <c r="M67" s="14">
        <f t="shared" si="20"/>
        <v>124.27825488684425</v>
      </c>
      <c r="N67" s="14">
        <f t="shared" si="20"/>
        <v>127.63376776878904</v>
      </c>
      <c r="O67" s="14">
        <f t="shared" si="20"/>
        <v>130.69697819523998</v>
      </c>
      <c r="P67" s="14">
        <f t="shared" si="20"/>
        <v>132.91882682455903</v>
      </c>
      <c r="Q67" s="14">
        <f t="shared" si="20"/>
        <v>134.38093391962917</v>
      </c>
      <c r="R67" s="14">
        <f t="shared" si="20"/>
        <v>137.47169539978063</v>
      </c>
      <c r="S67" s="14">
        <f t="shared" si="20"/>
        <v>140.90848778477513</v>
      </c>
      <c r="T67" s="14">
        <f t="shared" si="20"/>
        <v>144.29029149160974</v>
      </c>
      <c r="U67" s="14">
        <f t="shared" si="20"/>
        <v>147.60896819591676</v>
      </c>
      <c r="V67" s="14">
        <f t="shared" si="20"/>
        <v>151.00397446442284</v>
      </c>
    </row>
    <row r="69" spans="1:24" x14ac:dyDescent="0.3">
      <c r="A69" s="11" t="s">
        <v>61</v>
      </c>
      <c r="B69" s="11">
        <v>2010</v>
      </c>
      <c r="C69" s="11">
        <v>2011</v>
      </c>
      <c r="D69" s="11">
        <v>2012</v>
      </c>
      <c r="E69" s="11">
        <v>2013</v>
      </c>
      <c r="F69" s="11">
        <v>2014</v>
      </c>
      <c r="G69" s="11">
        <v>2015</v>
      </c>
      <c r="H69" s="11">
        <v>2016</v>
      </c>
      <c r="I69" s="11">
        <v>2017</v>
      </c>
      <c r="J69" s="11">
        <v>2018</v>
      </c>
      <c r="K69" s="11">
        <v>2019</v>
      </c>
      <c r="L69" s="11">
        <v>2020</v>
      </c>
      <c r="M69" s="11">
        <v>2021</v>
      </c>
      <c r="N69" s="11">
        <v>2022</v>
      </c>
      <c r="O69" s="11">
        <v>2023</v>
      </c>
      <c r="P69" s="11">
        <v>2024</v>
      </c>
      <c r="Q69" s="11">
        <v>2025</v>
      </c>
      <c r="R69" s="11">
        <v>2026</v>
      </c>
      <c r="S69" s="11">
        <v>2027</v>
      </c>
      <c r="T69" s="11">
        <v>2028</v>
      </c>
      <c r="U69" s="11">
        <v>2029</v>
      </c>
      <c r="V69" s="11">
        <v>2030</v>
      </c>
      <c r="W69" t="s">
        <v>127</v>
      </c>
      <c r="X69" t="s">
        <v>128</v>
      </c>
    </row>
    <row r="71" spans="1:24" x14ac:dyDescent="0.3">
      <c r="A71" t="s">
        <v>0</v>
      </c>
      <c r="B71" s="14">
        <f>$B2*B48/100</f>
        <v>11.937000000000001</v>
      </c>
      <c r="C71" s="14">
        <f t="shared" ref="C71:V71" si="21">$B2*C48/100</f>
        <v>12.235424999999998</v>
      </c>
      <c r="D71" s="14">
        <f t="shared" si="21"/>
        <v>12.406720949999999</v>
      </c>
      <c r="E71" s="14">
        <f t="shared" si="21"/>
        <v>12.530788159499998</v>
      </c>
      <c r="F71" s="14">
        <f t="shared" si="21"/>
        <v>12.756342346370998</v>
      </c>
      <c r="G71" s="14">
        <f t="shared" si="21"/>
        <v>13.036981877991161</v>
      </c>
      <c r="H71" s="14">
        <f t="shared" si="21"/>
        <v>13.545424171232815</v>
      </c>
      <c r="I71" s="14">
        <f t="shared" si="21"/>
        <v>13.992423168883498</v>
      </c>
      <c r="J71" s="14">
        <f t="shared" si="21"/>
        <v>14.510142826132185</v>
      </c>
      <c r="K71" s="14">
        <f t="shared" si="21"/>
        <v>14.814855825480961</v>
      </c>
      <c r="L71" s="14">
        <f t="shared" si="21"/>
        <v>14.325965583240087</v>
      </c>
      <c r="M71" s="14">
        <f t="shared" si="21"/>
        <v>15.6153024857317</v>
      </c>
      <c r="N71" s="14">
        <f t="shared" si="21"/>
        <v>16.364837005046823</v>
      </c>
      <c r="O71" s="14">
        <f t="shared" si="21"/>
        <v>17.019430485248694</v>
      </c>
      <c r="P71" s="14">
        <f t="shared" si="21"/>
        <v>17.700207704658645</v>
      </c>
      <c r="Q71" s="14">
        <f t="shared" si="21"/>
        <v>18.302014766617038</v>
      </c>
      <c r="R71" s="14">
        <f t="shared" si="21"/>
        <v>18.960887298215251</v>
      </c>
      <c r="S71" s="14">
        <f t="shared" si="21"/>
        <v>19.624518353652785</v>
      </c>
      <c r="T71" s="14">
        <f t="shared" si="21"/>
        <v>20.311376496030633</v>
      </c>
      <c r="U71" s="14">
        <f t="shared" si="21"/>
        <v>21.022274673391703</v>
      </c>
      <c r="V71" s="14">
        <f t="shared" si="21"/>
        <v>21.758054286960416</v>
      </c>
      <c r="W71" s="23">
        <f>((Q71/B71)^(1/15))-1</f>
        <v>2.8900979116544878E-2</v>
      </c>
      <c r="X71" s="23">
        <f>((V71/Q71)^(1/5))-1</f>
        <v>3.5199922750092316E-2</v>
      </c>
    </row>
    <row r="72" spans="1:24" x14ac:dyDescent="0.3">
      <c r="A72" t="s">
        <v>1</v>
      </c>
      <c r="B72" s="14">
        <f t="shared" ref="B72:V72" si="22">$B3*B49/100</f>
        <v>9.26</v>
      </c>
      <c r="C72" s="14">
        <f t="shared" si="22"/>
        <v>9.6952199999999991</v>
      </c>
      <c r="D72" s="14">
        <f t="shared" si="22"/>
        <v>10.383580619999998</v>
      </c>
      <c r="E72" s="14">
        <f t="shared" si="22"/>
        <v>10.736622361079998</v>
      </c>
      <c r="F72" s="14">
        <f t="shared" si="22"/>
        <v>11.12314076607888</v>
      </c>
      <c r="G72" s="14">
        <f t="shared" si="22"/>
        <v>11.49020441135948</v>
      </c>
      <c r="H72" s="14">
        <f t="shared" si="22"/>
        <v>11.5131848201822</v>
      </c>
      <c r="I72" s="14">
        <f t="shared" si="22"/>
        <v>12.376673681695863</v>
      </c>
      <c r="J72" s="14">
        <f t="shared" si="22"/>
        <v>13.020260713144051</v>
      </c>
      <c r="K72" s="14">
        <f t="shared" si="22"/>
        <v>14.009800527342998</v>
      </c>
      <c r="L72" s="14">
        <f t="shared" si="22"/>
        <v>13.015104689901642</v>
      </c>
      <c r="M72" s="14">
        <f t="shared" si="22"/>
        <v>13.76998076191594</v>
      </c>
      <c r="N72" s="14">
        <f t="shared" si="22"/>
        <v>15.504998337917348</v>
      </c>
      <c r="O72" s="14">
        <f t="shared" si="22"/>
        <v>16.791913199964487</v>
      </c>
      <c r="P72" s="14">
        <f t="shared" si="22"/>
        <v>17.78263607876239</v>
      </c>
      <c r="Q72" s="14">
        <f t="shared" si="22"/>
        <v>18.636202610542984</v>
      </c>
      <c r="R72" s="14">
        <f t="shared" si="22"/>
        <v>19.54937653845959</v>
      </c>
      <c r="S72" s="14">
        <f t="shared" si="22"/>
        <v>20.624592248074865</v>
      </c>
      <c r="T72" s="14">
        <f t="shared" si="22"/>
        <v>21.614572675982458</v>
      </c>
      <c r="U72" s="14">
        <f t="shared" si="22"/>
        <v>22.587228446401667</v>
      </c>
      <c r="V72" s="14">
        <f t="shared" si="22"/>
        <v>23.603653726489743</v>
      </c>
      <c r="W72" s="23">
        <f t="shared" ref="W72:W91" si="23">((Q72/B72)^(1/15))-1</f>
        <v>4.7730924130906516E-2</v>
      </c>
      <c r="X72" s="23">
        <f t="shared" ref="X72:X91" si="24">((V72/Q72)^(1/5))-1</f>
        <v>4.8393602837674576E-2</v>
      </c>
    </row>
    <row r="73" spans="1:24" x14ac:dyDescent="0.3">
      <c r="A73" t="s">
        <v>2</v>
      </c>
      <c r="B73" s="14">
        <f t="shared" ref="B73:V73" si="25">$B4*B50/100</f>
        <v>52.908999999999999</v>
      </c>
      <c r="C73" s="14">
        <f t="shared" si="25"/>
        <v>52.961908999999999</v>
      </c>
      <c r="D73" s="14">
        <f t="shared" si="25"/>
        <v>54.127070998000001</v>
      </c>
      <c r="E73" s="14">
        <f t="shared" si="25"/>
        <v>57.266441115884</v>
      </c>
      <c r="F73" s="14">
        <f t="shared" si="25"/>
        <v>58.869901467128756</v>
      </c>
      <c r="G73" s="14">
        <f t="shared" si="25"/>
        <v>59.517470383267167</v>
      </c>
      <c r="H73" s="14">
        <f t="shared" si="25"/>
        <v>57.672428801385877</v>
      </c>
      <c r="I73" s="14">
        <f t="shared" si="25"/>
        <v>57.787773658988655</v>
      </c>
      <c r="J73" s="14">
        <f t="shared" si="25"/>
        <v>58.65459026387348</v>
      </c>
      <c r="K73" s="14">
        <f t="shared" si="25"/>
        <v>60.120955020470312</v>
      </c>
      <c r="L73" s="14">
        <f t="shared" si="25"/>
        <v>57.595874909610558</v>
      </c>
      <c r="M73" s="14">
        <f t="shared" si="25"/>
        <v>60.821243904548759</v>
      </c>
      <c r="N73" s="14">
        <f t="shared" si="25"/>
        <v>63.679842368062545</v>
      </c>
      <c r="O73" s="14">
        <f t="shared" si="25"/>
        <v>64.571360161215409</v>
      </c>
      <c r="P73" s="14">
        <f t="shared" si="25"/>
        <v>67.218785927825252</v>
      </c>
      <c r="Q73" s="14">
        <f t="shared" si="25"/>
        <v>69.235349505659997</v>
      </c>
      <c r="R73" s="14">
        <f t="shared" si="25"/>
        <v>70.966233243301488</v>
      </c>
      <c r="S73" s="14">
        <f t="shared" si="25"/>
        <v>72.740389074384026</v>
      </c>
      <c r="T73" s="14">
        <f t="shared" si="25"/>
        <v>74.558898801243615</v>
      </c>
      <c r="U73" s="14">
        <f t="shared" si="25"/>
        <v>76.422871271274701</v>
      </c>
      <c r="V73" s="14">
        <f t="shared" si="25"/>
        <v>78.333443053056556</v>
      </c>
      <c r="W73" s="23">
        <f t="shared" si="23"/>
        <v>1.8090900230070872E-2</v>
      </c>
      <c r="X73" s="23">
        <f t="shared" si="24"/>
        <v>2.4999999999999911E-2</v>
      </c>
    </row>
    <row r="74" spans="1:24" x14ac:dyDescent="0.3">
      <c r="A74" t="s">
        <v>3</v>
      </c>
      <c r="B74" s="14">
        <f t="shared" ref="B74:V74" si="26">$B5*B51/100</f>
        <v>17.207000000000001</v>
      </c>
      <c r="C74" s="14">
        <f t="shared" si="26"/>
        <v>17.379070000000002</v>
      </c>
      <c r="D74" s="14">
        <f t="shared" si="26"/>
        <v>17.240037439999998</v>
      </c>
      <c r="E74" s="14">
        <f t="shared" si="26"/>
        <v>17.636558301119997</v>
      </c>
      <c r="F74" s="14">
        <f t="shared" si="26"/>
        <v>17.848197000733435</v>
      </c>
      <c r="G74" s="14">
        <f t="shared" si="26"/>
        <v>18.615669471764974</v>
      </c>
      <c r="H74" s="14">
        <f t="shared" si="26"/>
        <v>19.211370894861453</v>
      </c>
      <c r="I74" s="14">
        <f t="shared" si="26"/>
        <v>19.82613476349702</v>
      </c>
      <c r="J74" s="14">
        <f t="shared" si="26"/>
        <v>20.579527884509908</v>
      </c>
      <c r="K74" s="14">
        <f t="shared" si="26"/>
        <v>21.176334193160695</v>
      </c>
      <c r="L74" s="14">
        <f t="shared" si="26"/>
        <v>20.541044167365872</v>
      </c>
      <c r="M74" s="14">
        <f t="shared" si="26"/>
        <v>22.06108143575095</v>
      </c>
      <c r="N74" s="14">
        <f t="shared" si="26"/>
        <v>22.987646856052489</v>
      </c>
      <c r="O74" s="14">
        <f t="shared" si="26"/>
        <v>23.447399793173542</v>
      </c>
      <c r="P74" s="14">
        <f t="shared" si="26"/>
        <v>24.150821786968748</v>
      </c>
      <c r="Q74" s="14">
        <f t="shared" si="26"/>
        <v>24.730441509856</v>
      </c>
      <c r="R74" s="14">
        <f t="shared" si="26"/>
        <v>25.398163430622112</v>
      </c>
      <c r="S74" s="14">
        <f t="shared" si="26"/>
        <v>26.16010833354078</v>
      </c>
      <c r="T74" s="14">
        <f t="shared" si="26"/>
        <v>26.944911583547</v>
      </c>
      <c r="U74" s="14">
        <f t="shared" si="26"/>
        <v>27.753258931053416</v>
      </c>
      <c r="V74" s="14">
        <f t="shared" si="26"/>
        <v>28.585856698985015</v>
      </c>
      <c r="W74" s="23">
        <f t="shared" si="23"/>
        <v>2.447598097192194E-2</v>
      </c>
      <c r="X74" s="23">
        <f t="shared" si="24"/>
        <v>2.9399299746773355E-2</v>
      </c>
    </row>
    <row r="75" spans="1:24" x14ac:dyDescent="0.3">
      <c r="A75" t="s">
        <v>4</v>
      </c>
      <c r="B75" s="14">
        <f t="shared" ref="B75:V75" si="27">$B6*B52/100</f>
        <v>50.69</v>
      </c>
      <c r="C75" s="14">
        <f t="shared" si="27"/>
        <v>51.754489999999997</v>
      </c>
      <c r="D75" s="14">
        <f t="shared" si="27"/>
        <v>52.116771429999993</v>
      </c>
      <c r="E75" s="14">
        <f t="shared" si="27"/>
        <v>51.856187572849997</v>
      </c>
      <c r="F75" s="14">
        <f t="shared" si="27"/>
        <v>52.322893261005639</v>
      </c>
      <c r="G75" s="14">
        <f t="shared" si="27"/>
        <v>54.101871631879831</v>
      </c>
      <c r="H75" s="14">
        <f t="shared" si="27"/>
        <v>55.724927780836225</v>
      </c>
      <c r="I75" s="14">
        <f t="shared" si="27"/>
        <v>57.229500830918795</v>
      </c>
      <c r="J75" s="14">
        <f t="shared" si="27"/>
        <v>58.660238351691767</v>
      </c>
      <c r="K75" s="14">
        <f t="shared" si="27"/>
        <v>60.889327409056051</v>
      </c>
      <c r="L75" s="14">
        <f t="shared" si="27"/>
        <v>58.940868931966264</v>
      </c>
      <c r="M75" s="14">
        <f t="shared" si="27"/>
        <v>63.538256708659631</v>
      </c>
      <c r="N75" s="14">
        <f t="shared" si="27"/>
        <v>66.079786977006009</v>
      </c>
      <c r="O75" s="14">
        <f t="shared" si="27"/>
        <v>67.335302929569124</v>
      </c>
      <c r="P75" s="14">
        <f t="shared" si="27"/>
        <v>69.220691411597059</v>
      </c>
      <c r="Q75" s="14">
        <f t="shared" si="27"/>
        <v>71.297312153944972</v>
      </c>
      <c r="R75" s="14">
        <f t="shared" si="27"/>
        <v>73.507528830717263</v>
      </c>
      <c r="S75" s="14">
        <f t="shared" si="27"/>
        <v>75.565739637977359</v>
      </c>
      <c r="T75" s="14">
        <f t="shared" si="27"/>
        <v>77.606014608202742</v>
      </c>
      <c r="U75" s="14">
        <f t="shared" si="27"/>
        <v>79.623770988016005</v>
      </c>
      <c r="V75" s="14">
        <f t="shared" si="27"/>
        <v>81.693989033704426</v>
      </c>
      <c r="W75" s="23">
        <f t="shared" si="23"/>
        <v>2.3002569232428938E-2</v>
      </c>
      <c r="X75" s="23">
        <f t="shared" si="24"/>
        <v>2.7598328146186901E-2</v>
      </c>
    </row>
    <row r="76" spans="1:24" x14ac:dyDescent="0.3">
      <c r="A76" t="s">
        <v>5</v>
      </c>
      <c r="B76" s="14">
        <f t="shared" ref="B76:V76" si="28">$B7*B53/100</f>
        <v>59.031999999999996</v>
      </c>
      <c r="C76" s="14">
        <f t="shared" si="28"/>
        <v>58.972968000000002</v>
      </c>
      <c r="D76" s="14">
        <f t="shared" si="28"/>
        <v>57.616589735999995</v>
      </c>
      <c r="E76" s="14">
        <f t="shared" si="28"/>
        <v>57.558973146263995</v>
      </c>
      <c r="F76" s="14">
        <f t="shared" si="28"/>
        <v>57.213619307386409</v>
      </c>
      <c r="G76" s="14">
        <f t="shared" si="28"/>
        <v>58.529532551456285</v>
      </c>
      <c r="H76" s="14">
        <f t="shared" si="28"/>
        <v>60.578066190757255</v>
      </c>
      <c r="I76" s="14">
        <f t="shared" si="28"/>
        <v>62.577142375052233</v>
      </c>
      <c r="J76" s="14">
        <f t="shared" si="28"/>
        <v>64.391879503928749</v>
      </c>
      <c r="K76" s="14">
        <f t="shared" si="28"/>
        <v>66.388027768550543</v>
      </c>
      <c r="L76" s="14">
        <f t="shared" si="28"/>
        <v>60.877821463760846</v>
      </c>
      <c r="M76" s="14">
        <f t="shared" si="28"/>
        <v>68.548426968194704</v>
      </c>
      <c r="N76" s="14">
        <f t="shared" si="28"/>
        <v>73.552462136872919</v>
      </c>
      <c r="O76" s="14">
        <f t="shared" si="28"/>
        <v>75.97969338738973</v>
      </c>
      <c r="P76" s="14">
        <f t="shared" si="28"/>
        <v>78.942901429497908</v>
      </c>
      <c r="Q76" s="14">
        <f t="shared" si="28"/>
        <v>81.390131373812338</v>
      </c>
      <c r="R76" s="14">
        <f t="shared" si="28"/>
        <v>83.587664920905269</v>
      </c>
      <c r="S76" s="14">
        <f t="shared" si="28"/>
        <v>85.760944208848798</v>
      </c>
      <c r="T76" s="14">
        <f t="shared" si="28"/>
        <v>87.990728758278877</v>
      </c>
      <c r="U76" s="14">
        <f t="shared" si="28"/>
        <v>90.190496977235838</v>
      </c>
      <c r="V76" s="14">
        <f t="shared" si="28"/>
        <v>92.445259401666718</v>
      </c>
      <c r="W76" s="23">
        <f t="shared" si="23"/>
        <v>2.1642497650379067E-2</v>
      </c>
      <c r="X76" s="23">
        <f t="shared" si="24"/>
        <v>2.5799727087826518E-2</v>
      </c>
    </row>
    <row r="77" spans="1:24" x14ac:dyDescent="0.3">
      <c r="A77" t="s">
        <v>6</v>
      </c>
      <c r="B77" s="14">
        <f t="shared" ref="B77:V77" si="29">$B8*B54/100</f>
        <v>211.16900000000001</v>
      </c>
      <c r="C77" s="14">
        <f t="shared" si="29"/>
        <v>214.97004200000001</v>
      </c>
      <c r="D77" s="14">
        <f t="shared" si="29"/>
        <v>213.250281664</v>
      </c>
      <c r="E77" s="14">
        <f t="shared" si="29"/>
        <v>213.250281664</v>
      </c>
      <c r="F77" s="14">
        <f t="shared" si="29"/>
        <v>217.94178786060797</v>
      </c>
      <c r="G77" s="14">
        <f t="shared" si="29"/>
        <v>228.83887725363837</v>
      </c>
      <c r="H77" s="14">
        <f t="shared" si="29"/>
        <v>234.78868806223301</v>
      </c>
      <c r="I77" s="14">
        <f t="shared" si="29"/>
        <v>246.99769984146911</v>
      </c>
      <c r="J77" s="14">
        <f t="shared" si="29"/>
        <v>253.91363543703028</v>
      </c>
      <c r="K77" s="14">
        <f t="shared" si="29"/>
        <v>263.05452631276336</v>
      </c>
      <c r="L77" s="14">
        <f t="shared" si="29"/>
        <v>249.1126364181869</v>
      </c>
      <c r="M77" s="14">
        <f t="shared" si="29"/>
        <v>259.07714187491439</v>
      </c>
      <c r="N77" s="14">
        <f t="shared" si="29"/>
        <v>266.33130184741202</v>
      </c>
      <c r="O77" s="14">
        <f t="shared" si="29"/>
        <v>266.33130184741202</v>
      </c>
      <c r="P77" s="14">
        <f t="shared" si="29"/>
        <v>269.52727746958095</v>
      </c>
      <c r="Q77" s="14">
        <f t="shared" si="29"/>
        <v>275.72640485138129</v>
      </c>
      <c r="R77" s="14">
        <f t="shared" si="29"/>
        <v>281.24093294840884</v>
      </c>
      <c r="S77" s="14">
        <f t="shared" si="29"/>
        <v>286.86575160737704</v>
      </c>
      <c r="T77" s="14">
        <f t="shared" si="29"/>
        <v>292.60306663952457</v>
      </c>
      <c r="U77" s="14">
        <f t="shared" si="29"/>
        <v>298.45512797231504</v>
      </c>
      <c r="V77" s="14">
        <f t="shared" si="29"/>
        <v>304.42423053176134</v>
      </c>
      <c r="W77" s="23">
        <f t="shared" si="23"/>
        <v>1.7942420468415765E-2</v>
      </c>
      <c r="X77" s="23">
        <f t="shared" si="24"/>
        <v>2.0000000000000018E-2</v>
      </c>
    </row>
    <row r="78" spans="1:24" x14ac:dyDescent="0.3">
      <c r="A78" t="s">
        <v>7</v>
      </c>
      <c r="B78" s="14">
        <f t="shared" ref="B78:V78" si="30">$B9*B55/100</f>
        <v>19.568999999999999</v>
      </c>
      <c r="C78" s="14">
        <f t="shared" si="30"/>
        <v>21.056244000000003</v>
      </c>
      <c r="D78" s="14">
        <f t="shared" si="30"/>
        <v>21.835325027999996</v>
      </c>
      <c r="E78" s="14">
        <f t="shared" si="30"/>
        <v>22.228360878503999</v>
      </c>
      <c r="F78" s="14">
        <f t="shared" si="30"/>
        <v>22.961896787494631</v>
      </c>
      <c r="G78" s="14">
        <f t="shared" si="30"/>
        <v>23.375210929669535</v>
      </c>
      <c r="H78" s="14">
        <f t="shared" si="30"/>
        <v>24.099842468489285</v>
      </c>
      <c r="I78" s="14">
        <f t="shared" si="30"/>
        <v>25.449433646724692</v>
      </c>
      <c r="J78" s="14">
        <f t="shared" si="30"/>
        <v>26.391062691653502</v>
      </c>
      <c r="K78" s="14">
        <f t="shared" si="30"/>
        <v>27.36753201124468</v>
      </c>
      <c r="L78" s="14">
        <f t="shared" si="30"/>
        <v>26.57387358291858</v>
      </c>
      <c r="M78" s="14">
        <f t="shared" si="30"/>
        <v>28.779505090300827</v>
      </c>
      <c r="N78" s="14">
        <f t="shared" si="30"/>
        <v>28.434151029217215</v>
      </c>
      <c r="O78" s="14">
        <f t="shared" si="30"/>
        <v>27.666428951428351</v>
      </c>
      <c r="P78" s="14">
        <f t="shared" si="30"/>
        <v>27.638762522476924</v>
      </c>
      <c r="Q78" s="14">
        <f t="shared" si="30"/>
        <v>27.776956335089302</v>
      </c>
      <c r="R78" s="14">
        <f t="shared" si="30"/>
        <v>28.193610680115643</v>
      </c>
      <c r="S78" s="14">
        <f t="shared" si="30"/>
        <v>28.701095672357724</v>
      </c>
      <c r="T78" s="14">
        <f t="shared" si="30"/>
        <v>29.217715394460164</v>
      </c>
      <c r="U78" s="14">
        <f t="shared" si="30"/>
        <v>29.743634271560452</v>
      </c>
      <c r="V78" s="14">
        <f t="shared" si="30"/>
        <v>30.249276054176981</v>
      </c>
      <c r="W78" s="23">
        <f t="shared" si="23"/>
        <v>2.3625433849673749E-2</v>
      </c>
      <c r="X78" s="23">
        <f t="shared" si="24"/>
        <v>1.7199330909664967E-2</v>
      </c>
    </row>
    <row r="79" spans="1:24" x14ac:dyDescent="0.3">
      <c r="A79" t="s">
        <v>8</v>
      </c>
      <c r="B79" s="14">
        <f t="shared" ref="B79:V79" si="31">$B10*B56/100</f>
        <v>12.425000000000001</v>
      </c>
      <c r="C79" s="14">
        <f t="shared" si="31"/>
        <v>13.406575</v>
      </c>
      <c r="D79" s="14">
        <f t="shared" si="31"/>
        <v>14.291408949999999</v>
      </c>
      <c r="E79" s="14">
        <f t="shared" si="31"/>
        <v>15.020270806449998</v>
      </c>
      <c r="F79" s="14">
        <f t="shared" si="31"/>
        <v>15.636101909514448</v>
      </c>
      <c r="G79" s="14">
        <f t="shared" si="31"/>
        <v>16.16772937443794</v>
      </c>
      <c r="H79" s="14">
        <f t="shared" si="31"/>
        <v>16.717432173168831</v>
      </c>
      <c r="I79" s="14">
        <f t="shared" si="31"/>
        <v>17.586738646173607</v>
      </c>
      <c r="J79" s="14">
        <f t="shared" si="31"/>
        <v>18.659529703590195</v>
      </c>
      <c r="K79" s="14">
        <f t="shared" si="31"/>
        <v>19.667144307584071</v>
      </c>
      <c r="L79" s="14">
        <f t="shared" si="31"/>
        <v>18.428114216206275</v>
      </c>
      <c r="M79" s="14">
        <f t="shared" si="31"/>
        <v>20.381494323124137</v>
      </c>
      <c r="N79" s="14">
        <f t="shared" si="31"/>
        <v>22.6234586986678</v>
      </c>
      <c r="O79" s="14">
        <f t="shared" si="31"/>
        <v>24.388088477163887</v>
      </c>
      <c r="P79" s="14">
        <f t="shared" si="31"/>
        <v>26.680568794017294</v>
      </c>
      <c r="Q79" s="14">
        <f t="shared" si="31"/>
        <v>28.601569747186542</v>
      </c>
      <c r="R79" s="14">
        <f t="shared" si="31"/>
        <v>30.117452943787427</v>
      </c>
      <c r="S79" s="14">
        <f t="shared" si="31"/>
        <v>31.623325590976798</v>
      </c>
      <c r="T79" s="14">
        <f t="shared" si="31"/>
        <v>33.204491870525636</v>
      </c>
      <c r="U79" s="14">
        <f t="shared" si="31"/>
        <v>34.864716464051924</v>
      </c>
      <c r="V79" s="14">
        <f t="shared" si="31"/>
        <v>36.607952287254513</v>
      </c>
      <c r="W79" s="23">
        <f t="shared" si="23"/>
        <v>5.7157182461556877E-2</v>
      </c>
      <c r="X79" s="23">
        <f t="shared" si="24"/>
        <v>5.0599315458878635E-2</v>
      </c>
    </row>
    <row r="80" spans="1:24" x14ac:dyDescent="0.3">
      <c r="A80" t="s">
        <v>9</v>
      </c>
      <c r="B80" s="14">
        <f t="shared" ref="B80:V80" si="32">$B11*B57/100</f>
        <v>131.899</v>
      </c>
      <c r="C80" s="14">
        <f t="shared" si="32"/>
        <v>134.405081</v>
      </c>
      <c r="D80" s="14">
        <f t="shared" si="32"/>
        <v>132.65781494699999</v>
      </c>
      <c r="E80" s="14">
        <f t="shared" si="32"/>
        <v>135.31097124593998</v>
      </c>
      <c r="F80" s="14">
        <f t="shared" si="32"/>
        <v>141.12934300951537</v>
      </c>
      <c r="G80" s="14">
        <f t="shared" si="32"/>
        <v>146.35112870086743</v>
      </c>
      <c r="H80" s="14">
        <f t="shared" si="32"/>
        <v>149.86355578968826</v>
      </c>
      <c r="I80" s="14">
        <f t="shared" si="32"/>
        <v>156.00796157706546</v>
      </c>
      <c r="J80" s="14">
        <f t="shared" si="32"/>
        <v>164.74440742538116</v>
      </c>
      <c r="K80" s="14">
        <f t="shared" si="32"/>
        <v>173.14637220407556</v>
      </c>
      <c r="L80" s="14">
        <f t="shared" si="32"/>
        <v>165.70107819930033</v>
      </c>
      <c r="M80" s="14">
        <f t="shared" si="32"/>
        <v>177.63155582964993</v>
      </c>
      <c r="N80" s="14">
        <f t="shared" si="32"/>
        <v>185.26971273032487</v>
      </c>
      <c r="O80" s="14">
        <f t="shared" si="32"/>
        <v>183.78755502848227</v>
      </c>
      <c r="P80" s="14">
        <f t="shared" si="32"/>
        <v>184.70649280362468</v>
      </c>
      <c r="Q80" s="14">
        <f t="shared" si="32"/>
        <v>185.81473176044642</v>
      </c>
      <c r="R80" s="14">
        <f t="shared" si="32"/>
        <v>189.71684112741576</v>
      </c>
      <c r="S80" s="14">
        <f t="shared" si="32"/>
        <v>194.08032847334627</v>
      </c>
      <c r="T80" s="14">
        <f t="shared" si="32"/>
        <v>198.73825635670659</v>
      </c>
      <c r="U80" s="14">
        <f t="shared" si="32"/>
        <v>203.70671276562425</v>
      </c>
      <c r="V80" s="14">
        <f t="shared" si="32"/>
        <v>208.79938058476483</v>
      </c>
      <c r="W80" s="23">
        <f t="shared" si="23"/>
        <v>2.311058059827098E-2</v>
      </c>
      <c r="X80" s="23">
        <f t="shared" si="24"/>
        <v>2.3598905041866125E-2</v>
      </c>
    </row>
    <row r="81" spans="1:24" x14ac:dyDescent="0.3">
      <c r="A81" t="s">
        <v>10</v>
      </c>
      <c r="B81" s="14">
        <f t="shared" ref="B81:V81" si="33">$B12*B58/100</f>
        <v>23.509</v>
      </c>
      <c r="C81" s="14">
        <f t="shared" si="33"/>
        <v>24.214270000000003</v>
      </c>
      <c r="D81" s="14">
        <f t="shared" si="33"/>
        <v>25.981911709999999</v>
      </c>
      <c r="E81" s="14">
        <f t="shared" si="33"/>
        <v>26.527531855909992</v>
      </c>
      <c r="F81" s="14">
        <f t="shared" si="33"/>
        <v>27.084610024884103</v>
      </c>
      <c r="G81" s="14">
        <f t="shared" si="33"/>
        <v>28.113825205829698</v>
      </c>
      <c r="H81" s="14">
        <f t="shared" si="33"/>
        <v>28.844784661181276</v>
      </c>
      <c r="I81" s="14">
        <f t="shared" si="33"/>
        <v>29.825507339661435</v>
      </c>
      <c r="J81" s="14">
        <f t="shared" si="33"/>
        <v>31.108004155266872</v>
      </c>
      <c r="K81" s="14">
        <f t="shared" si="33"/>
        <v>31.32576018435374</v>
      </c>
      <c r="L81" s="14">
        <f t="shared" si="33"/>
        <v>30.229358577901358</v>
      </c>
      <c r="M81" s="14">
        <f t="shared" si="33"/>
        <v>32.315184319776556</v>
      </c>
      <c r="N81" s="14">
        <f t="shared" si="33"/>
        <v>32.896857637532527</v>
      </c>
      <c r="O81" s="14">
        <f t="shared" si="33"/>
        <v>33.850866509020967</v>
      </c>
      <c r="P81" s="14">
        <f t="shared" si="33"/>
        <v>33.715463042984886</v>
      </c>
      <c r="Q81" s="14">
        <f t="shared" si="33"/>
        <v>34.052617673414737</v>
      </c>
      <c r="R81" s="14">
        <f t="shared" si="33"/>
        <v>34.80177526222986</v>
      </c>
      <c r="S81" s="14">
        <f t="shared" si="33"/>
        <v>35.637017868523372</v>
      </c>
      <c r="T81" s="14">
        <f t="shared" si="33"/>
        <v>36.492306297367939</v>
      </c>
      <c r="U81" s="14">
        <f t="shared" si="33"/>
        <v>37.368121648504768</v>
      </c>
      <c r="V81" s="14">
        <f t="shared" si="33"/>
        <v>38.264956568068889</v>
      </c>
      <c r="W81" s="23">
        <f t="shared" si="23"/>
        <v>2.5009183465006801E-2</v>
      </c>
      <c r="X81" s="23">
        <f t="shared" si="24"/>
        <v>2.359968713328775E-2</v>
      </c>
    </row>
    <row r="82" spans="1:24" x14ac:dyDescent="0.3">
      <c r="A82" t="s">
        <v>11</v>
      </c>
      <c r="B82" s="14">
        <f t="shared" ref="B82:V82" si="34">$B13*B59/100</f>
        <v>36.692999999999998</v>
      </c>
      <c r="C82" s="14">
        <f t="shared" si="34"/>
        <v>39.004658999999997</v>
      </c>
      <c r="D82" s="14">
        <f t="shared" si="34"/>
        <v>40.720863995999999</v>
      </c>
      <c r="E82" s="14">
        <f t="shared" si="34"/>
        <v>42.390419419835986</v>
      </c>
      <c r="F82" s="14">
        <f t="shared" si="34"/>
        <v>44.001255357789759</v>
      </c>
      <c r="G82" s="14">
        <f t="shared" si="34"/>
        <v>45.233290507807872</v>
      </c>
      <c r="H82" s="14">
        <f t="shared" si="34"/>
        <v>46.409356061010882</v>
      </c>
      <c r="I82" s="14">
        <f t="shared" si="34"/>
        <v>48.590595795878386</v>
      </c>
      <c r="J82" s="14">
        <f t="shared" si="34"/>
        <v>50.92294439408056</v>
      </c>
      <c r="K82" s="14">
        <f t="shared" si="34"/>
        <v>53.316322780602341</v>
      </c>
      <c r="L82" s="14">
        <f t="shared" si="34"/>
        <v>53.316322780602341</v>
      </c>
      <c r="M82" s="14">
        <f t="shared" si="34"/>
        <v>56.728567438560894</v>
      </c>
      <c r="N82" s="14">
        <f t="shared" si="34"/>
        <v>58.146781624524913</v>
      </c>
      <c r="O82" s="14">
        <f t="shared" si="34"/>
        <v>58.379368751023001</v>
      </c>
      <c r="P82" s="14">
        <f t="shared" si="34"/>
        <v>59.955611707300619</v>
      </c>
      <c r="Q82" s="14">
        <f t="shared" si="34"/>
        <v>61.574413223397734</v>
      </c>
      <c r="R82" s="14">
        <f t="shared" si="34"/>
        <v>63.360071206876263</v>
      </c>
      <c r="S82" s="14">
        <f t="shared" si="34"/>
        <v>64.690632702220668</v>
      </c>
      <c r="T82" s="14">
        <f t="shared" si="34"/>
        <v>66.307898519776174</v>
      </c>
      <c r="U82" s="14">
        <f t="shared" si="34"/>
        <v>67.96559598277058</v>
      </c>
      <c r="V82" s="14">
        <f t="shared" si="34"/>
        <v>69.664735882339826</v>
      </c>
      <c r="W82" s="23">
        <f t="shared" si="23"/>
        <v>3.5113098045926217E-2</v>
      </c>
      <c r="X82" s="23">
        <f t="shared" si="24"/>
        <v>2.499687802976247E-2</v>
      </c>
    </row>
    <row r="83" spans="1:24" x14ac:dyDescent="0.3">
      <c r="A83" t="s">
        <v>12</v>
      </c>
      <c r="B83" s="14">
        <f t="shared" ref="B83:V83" si="35">$B14*B60/100</f>
        <v>6.9770000000000003</v>
      </c>
      <c r="C83" s="14">
        <f t="shared" si="35"/>
        <v>7.3816660000000009</v>
      </c>
      <c r="D83" s="14">
        <f t="shared" si="35"/>
        <v>7.3373760040000011</v>
      </c>
      <c r="E83" s="14">
        <f t="shared" si="35"/>
        <v>7.9977398443600016</v>
      </c>
      <c r="F83" s="14">
        <f t="shared" si="35"/>
        <v>8.3976268365780022</v>
      </c>
      <c r="G83" s="14">
        <f t="shared" si="35"/>
        <v>8.3388434487219563</v>
      </c>
      <c r="H83" s="14">
        <f t="shared" si="35"/>
        <v>8.7224302473631674</v>
      </c>
      <c r="I83" s="14">
        <f t="shared" si="35"/>
        <v>9.0887723177524204</v>
      </c>
      <c r="J83" s="14">
        <f t="shared" si="35"/>
        <v>9.4614119827802678</v>
      </c>
      <c r="K83" s="14">
        <f t="shared" si="35"/>
        <v>9.8020228141603578</v>
      </c>
      <c r="L83" s="14">
        <f t="shared" si="35"/>
        <v>8.988454920585049</v>
      </c>
      <c r="M83" s="14">
        <f t="shared" si="35"/>
        <v>10.237850154546372</v>
      </c>
      <c r="N83" s="14">
        <f t="shared" si="35"/>
        <v>9.7669090474372382</v>
      </c>
      <c r="O83" s="14">
        <f t="shared" si="35"/>
        <v>9.8841119560064854</v>
      </c>
      <c r="P83" s="14">
        <f t="shared" si="35"/>
        <v>9.8939960679624921</v>
      </c>
      <c r="Q83" s="14">
        <f t="shared" si="35"/>
        <v>10.062194001117852</v>
      </c>
      <c r="R83" s="14">
        <f t="shared" si="35"/>
        <v>10.283562269142443</v>
      </c>
      <c r="S83" s="14">
        <f t="shared" si="35"/>
        <v>10.64348694856243</v>
      </c>
      <c r="T83" s="14">
        <f t="shared" si="35"/>
        <v>11.037295965659238</v>
      </c>
      <c r="U83" s="14">
        <f t="shared" si="35"/>
        <v>11.44567591638863</v>
      </c>
      <c r="V83" s="14">
        <f t="shared" si="35"/>
        <v>11.846274573462232</v>
      </c>
      <c r="W83" s="23">
        <f t="shared" si="23"/>
        <v>2.4711470224360932E-2</v>
      </c>
      <c r="X83" s="23">
        <f t="shared" si="24"/>
        <v>3.3184355923368658E-2</v>
      </c>
    </row>
    <row r="84" spans="1:24" x14ac:dyDescent="0.3">
      <c r="A84" t="s">
        <v>13</v>
      </c>
      <c r="B84" s="14">
        <f t="shared" ref="B84:V84" si="36">$B15*B61/100</f>
        <v>4.1399999999999997</v>
      </c>
      <c r="C84" s="14">
        <f t="shared" si="36"/>
        <v>4.2807599999999999</v>
      </c>
      <c r="D84" s="14">
        <f t="shared" si="36"/>
        <v>4.1737409999999997</v>
      </c>
      <c r="E84" s="14">
        <f t="shared" si="36"/>
        <v>4.3156481939999995</v>
      </c>
      <c r="F84" s="14">
        <f t="shared" si="36"/>
        <v>4.4192237506559993</v>
      </c>
      <c r="G84" s="14">
        <f t="shared" si="36"/>
        <v>4.5297043444223997</v>
      </c>
      <c r="H84" s="14">
        <f t="shared" si="36"/>
        <v>4.6837142921327617</v>
      </c>
      <c r="I84" s="14">
        <f t="shared" si="36"/>
        <v>4.8335931494810094</v>
      </c>
      <c r="J84" s="14">
        <f t="shared" si="36"/>
        <v>5.0607720275066166</v>
      </c>
      <c r="K84" s="14">
        <f t="shared" si="36"/>
        <v>5.2834459967169085</v>
      </c>
      <c r="L84" s="14">
        <f t="shared" si="36"/>
        <v>4.4909290972093716</v>
      </c>
      <c r="M84" s="14">
        <f t="shared" si="36"/>
        <v>5.07474987984659</v>
      </c>
      <c r="N84" s="14">
        <f t="shared" si="36"/>
        <v>5.4655056205947767</v>
      </c>
      <c r="O84" s="14">
        <f t="shared" si="36"/>
        <v>5.820763485933437</v>
      </c>
      <c r="P84" s="14">
        <f t="shared" si="36"/>
        <v>6.007027917483307</v>
      </c>
      <c r="Q84" s="14">
        <f t="shared" si="36"/>
        <v>6.199252810842772</v>
      </c>
      <c r="R84" s="14">
        <f t="shared" si="36"/>
        <v>6.3976289007897424</v>
      </c>
      <c r="S84" s="14">
        <f t="shared" si="36"/>
        <v>6.5895577678134343</v>
      </c>
      <c r="T84" s="14">
        <f t="shared" si="36"/>
        <v>6.7872445008478373</v>
      </c>
      <c r="U84" s="14">
        <f t="shared" si="36"/>
        <v>6.9908618358732726</v>
      </c>
      <c r="V84" s="14">
        <f t="shared" si="36"/>
        <v>7.2005876909494715</v>
      </c>
      <c r="W84" s="23">
        <f t="shared" si="23"/>
        <v>2.72810269009649E-2</v>
      </c>
      <c r="X84" s="23">
        <f t="shared" si="24"/>
        <v>3.0399689681853914E-2</v>
      </c>
    </row>
    <row r="85" spans="1:24" x14ac:dyDescent="0.3">
      <c r="A85" t="s">
        <v>14</v>
      </c>
      <c r="B85" s="14">
        <f t="shared" ref="B85:V85" si="37">$B16*B62/100</f>
        <v>9.4149999999999991</v>
      </c>
      <c r="C85" s="14">
        <f t="shared" si="37"/>
        <v>9.6315449999999991</v>
      </c>
      <c r="D85" s="14">
        <f t="shared" si="37"/>
        <v>9.5833872749999998</v>
      </c>
      <c r="E85" s="14">
        <f t="shared" si="37"/>
        <v>9.8613055059749986</v>
      </c>
      <c r="F85" s="14">
        <f t="shared" si="37"/>
        <v>10.2163125041901</v>
      </c>
      <c r="G85" s="14">
        <f t="shared" si="37"/>
        <v>10.614748691853514</v>
      </c>
      <c r="H85" s="14">
        <f t="shared" si="37"/>
        <v>10.911961655225412</v>
      </c>
      <c r="I85" s="14">
        <f t="shared" si="37"/>
        <v>11.031993233432891</v>
      </c>
      <c r="J85" s="14">
        <f t="shared" si="37"/>
        <v>11.351921037202441</v>
      </c>
      <c r="K85" s="14">
        <f t="shared" si="37"/>
        <v>11.794645957653337</v>
      </c>
      <c r="L85" s="14">
        <f t="shared" si="37"/>
        <v>11.240297597643631</v>
      </c>
      <c r="M85" s="14">
        <f t="shared" si="37"/>
        <v>11.746110989537591</v>
      </c>
      <c r="N85" s="14">
        <f t="shared" si="37"/>
        <v>12.075002097244644</v>
      </c>
      <c r="O85" s="14">
        <f t="shared" si="37"/>
        <v>12.328577141286782</v>
      </c>
      <c r="P85" s="14">
        <f t="shared" si="37"/>
        <v>12.673777301242813</v>
      </c>
      <c r="Q85" s="14">
        <f t="shared" si="37"/>
        <v>13.10468572948507</v>
      </c>
      <c r="R85" s="14">
        <f t="shared" si="37"/>
        <v>13.524035672828592</v>
      </c>
      <c r="S85" s="14">
        <f t="shared" si="37"/>
        <v>13.95680481435911</v>
      </c>
      <c r="T85" s="14">
        <f t="shared" si="37"/>
        <v>14.389465763604239</v>
      </c>
      <c r="U85" s="14">
        <f t="shared" si="37"/>
        <v>14.835539202275971</v>
      </c>
      <c r="V85" s="14">
        <f t="shared" si="37"/>
        <v>15.280605378344251</v>
      </c>
      <c r="W85" s="23">
        <f t="shared" si="23"/>
        <v>2.2289152207595864E-2</v>
      </c>
      <c r="X85" s="23">
        <f t="shared" si="24"/>
        <v>3.1199728426447804E-2</v>
      </c>
    </row>
    <row r="86" spans="1:24" x14ac:dyDescent="0.3">
      <c r="A86" t="s">
        <v>15</v>
      </c>
      <c r="B86" s="14">
        <f t="shared" ref="B86:V86" si="38">$B17*B63/100</f>
        <v>478.11099999999999</v>
      </c>
      <c r="C86" s="14">
        <f t="shared" si="38"/>
        <v>503.45088299999998</v>
      </c>
      <c r="D86" s="14">
        <f t="shared" si="38"/>
        <v>511.00264624499994</v>
      </c>
      <c r="E86" s="14">
        <f t="shared" si="38"/>
        <v>514.57966476871491</v>
      </c>
      <c r="F86" s="14">
        <f t="shared" si="38"/>
        <v>534.64827169469481</v>
      </c>
      <c r="G86" s="14">
        <f t="shared" si="38"/>
        <v>558.17279564926127</v>
      </c>
      <c r="H86" s="14">
        <f t="shared" si="38"/>
        <v>574.91797951873912</v>
      </c>
      <c r="I86" s="14">
        <f t="shared" si="38"/>
        <v>604.8137144537136</v>
      </c>
      <c r="J86" s="14">
        <f t="shared" si="38"/>
        <v>642.31216474984387</v>
      </c>
      <c r="K86" s="14">
        <f t="shared" si="38"/>
        <v>671.85852432833667</v>
      </c>
      <c r="L86" s="14">
        <f t="shared" si="38"/>
        <v>658.42135384176993</v>
      </c>
      <c r="M86" s="14">
        <f t="shared" si="38"/>
        <v>703.85242725685214</v>
      </c>
      <c r="N86" s="14">
        <f t="shared" si="38"/>
        <v>741.15660590146513</v>
      </c>
      <c r="O86" s="14">
        <f t="shared" si="38"/>
        <v>742.638919113268</v>
      </c>
      <c r="P86" s="14">
        <f t="shared" si="38"/>
        <v>764.17544776755267</v>
      </c>
      <c r="Q86" s="14">
        <f t="shared" si="38"/>
        <v>788.62906209611435</v>
      </c>
      <c r="R86" s="14">
        <f t="shared" si="38"/>
        <v>813.07656302109388</v>
      </c>
      <c r="S86" s="14">
        <f t="shared" si="38"/>
        <v>836.65578334870577</v>
      </c>
      <c r="T86" s="14">
        <f t="shared" si="38"/>
        <v>860.08214528246947</v>
      </c>
      <c r="U86" s="14">
        <f t="shared" si="38"/>
        <v>883.30436320509602</v>
      </c>
      <c r="V86" s="14">
        <f t="shared" si="38"/>
        <v>906.27027664842853</v>
      </c>
      <c r="W86" s="23">
        <f t="shared" si="23"/>
        <v>3.392634798640537E-2</v>
      </c>
      <c r="X86" s="23">
        <f t="shared" si="24"/>
        <v>2.8198561223960583E-2</v>
      </c>
    </row>
    <row r="87" spans="1:24" x14ac:dyDescent="0.3">
      <c r="A87" t="s">
        <v>16</v>
      </c>
      <c r="B87" s="14">
        <f t="shared" ref="B87:V87" si="39">$B18*B64/100</f>
        <v>170.32900000000001</v>
      </c>
      <c r="C87" s="14">
        <f t="shared" si="39"/>
        <v>177.99380499999998</v>
      </c>
      <c r="D87" s="14">
        <f t="shared" si="39"/>
        <v>181.37568729499998</v>
      </c>
      <c r="E87" s="14">
        <f t="shared" si="39"/>
        <v>181.91981435688496</v>
      </c>
      <c r="F87" s="14">
        <f t="shared" si="39"/>
        <v>189.37852674551723</v>
      </c>
      <c r="G87" s="14">
        <f t="shared" si="39"/>
        <v>195.43863960137381</v>
      </c>
      <c r="H87" s="14">
        <f t="shared" si="39"/>
        <v>201.10636014981364</v>
      </c>
      <c r="I87" s="14">
        <f t="shared" si="39"/>
        <v>217.59708168209832</v>
      </c>
      <c r="J87" s="14">
        <f t="shared" si="39"/>
        <v>230.87050366470635</v>
      </c>
      <c r="K87" s="14">
        <f t="shared" si="39"/>
        <v>239.87445330762984</v>
      </c>
      <c r="L87" s="14">
        <f t="shared" si="39"/>
        <v>230.99909853524758</v>
      </c>
      <c r="M87" s="14">
        <f t="shared" si="39"/>
        <v>243.70404895468619</v>
      </c>
      <c r="N87" s="14">
        <f t="shared" si="39"/>
        <v>253.45221091287362</v>
      </c>
      <c r="O87" s="14">
        <f t="shared" si="39"/>
        <v>259.53506397478259</v>
      </c>
      <c r="P87" s="14">
        <f t="shared" si="39"/>
        <v>261.61134448658089</v>
      </c>
      <c r="Q87" s="14">
        <f t="shared" si="39"/>
        <v>264.22745793144668</v>
      </c>
      <c r="R87" s="14">
        <f t="shared" si="39"/>
        <v>267.92664234248696</v>
      </c>
      <c r="S87" s="14">
        <f t="shared" si="39"/>
        <v>275.16066168573411</v>
      </c>
      <c r="T87" s="14">
        <f t="shared" si="39"/>
        <v>283.14032087462033</v>
      </c>
      <c r="U87" s="14">
        <f t="shared" si="39"/>
        <v>291.91767082173357</v>
      </c>
      <c r="V87" s="14">
        <f t="shared" si="39"/>
        <v>301.55095395885076</v>
      </c>
      <c r="W87" s="23">
        <f t="shared" si="23"/>
        <v>2.970452994603634E-2</v>
      </c>
      <c r="X87" s="23">
        <f t="shared" si="24"/>
        <v>2.6777993460939342E-2</v>
      </c>
    </row>
    <row r="88" spans="1:24" x14ac:dyDescent="0.3">
      <c r="A88" t="s">
        <v>17</v>
      </c>
      <c r="B88" s="14">
        <f t="shared" ref="B88:V88" si="40">$B19*B65/100</f>
        <v>43.067</v>
      </c>
      <c r="C88" s="14">
        <f t="shared" si="40"/>
        <v>43.110067000000001</v>
      </c>
      <c r="D88" s="14">
        <f t="shared" si="40"/>
        <v>42.937626731999998</v>
      </c>
      <c r="E88" s="14">
        <f t="shared" si="40"/>
        <v>43.152314865659989</v>
      </c>
      <c r="F88" s="14">
        <f t="shared" si="40"/>
        <v>42.375573198078108</v>
      </c>
      <c r="G88" s="14">
        <f t="shared" si="40"/>
        <v>42.926455649653114</v>
      </c>
      <c r="H88" s="14">
        <f t="shared" si="40"/>
        <v>44.214249319142709</v>
      </c>
      <c r="I88" s="14">
        <f t="shared" si="40"/>
        <v>45.275391302802134</v>
      </c>
      <c r="J88" s="14">
        <f t="shared" si="40"/>
        <v>47.358059302731043</v>
      </c>
      <c r="K88" s="14">
        <f t="shared" si="40"/>
        <v>49.631246149262132</v>
      </c>
      <c r="L88" s="14">
        <f t="shared" si="40"/>
        <v>49.134933687769511</v>
      </c>
      <c r="M88" s="14">
        <f t="shared" si="40"/>
        <v>53.016593449103304</v>
      </c>
      <c r="N88" s="14">
        <f t="shared" si="40"/>
        <v>54.395024878779985</v>
      </c>
      <c r="O88" s="14">
        <f t="shared" si="40"/>
        <v>56.462035824173626</v>
      </c>
      <c r="P88" s="14">
        <f t="shared" si="40"/>
        <v>58.664055221316382</v>
      </c>
      <c r="Q88" s="14">
        <f t="shared" si="40"/>
        <v>60.071992546627982</v>
      </c>
      <c r="R88" s="14">
        <f t="shared" si="40"/>
        <v>62.234584278306592</v>
      </c>
      <c r="S88" s="14">
        <f t="shared" si="40"/>
        <v>65.097375155108693</v>
      </c>
      <c r="T88" s="14">
        <f t="shared" si="40"/>
        <v>67.571075411002823</v>
      </c>
      <c r="U88" s="14">
        <f t="shared" si="40"/>
        <v>70.27391842744295</v>
      </c>
      <c r="V88" s="14">
        <f t="shared" si="40"/>
        <v>73.084875164540662</v>
      </c>
      <c r="W88" s="23">
        <f t="shared" si="23"/>
        <v>2.2433712936090311E-2</v>
      </c>
      <c r="X88" s="23">
        <f t="shared" si="24"/>
        <v>3.9994624204779949E-2</v>
      </c>
    </row>
    <row r="89" spans="1:24" x14ac:dyDescent="0.3">
      <c r="A89" t="s">
        <v>18</v>
      </c>
      <c r="B89" s="14">
        <f t="shared" ref="B89:V89" si="41">$B20*B66/100</f>
        <v>91.186000000000007</v>
      </c>
      <c r="C89" s="14">
        <f t="shared" si="41"/>
        <v>93.556836000000018</v>
      </c>
      <c r="D89" s="14">
        <f t="shared" si="41"/>
        <v>95.053745376000009</v>
      </c>
      <c r="E89" s="14">
        <f t="shared" si="41"/>
        <v>95.719121593632011</v>
      </c>
      <c r="F89" s="14">
        <f t="shared" si="41"/>
        <v>98.303537876660073</v>
      </c>
      <c r="G89" s="14">
        <f t="shared" si="41"/>
        <v>103.41532184624639</v>
      </c>
      <c r="H89" s="14">
        <f t="shared" si="41"/>
        <v>105.38021296132507</v>
      </c>
      <c r="I89" s="14">
        <f t="shared" si="41"/>
        <v>108.43623913720349</v>
      </c>
      <c r="J89" s="14">
        <f t="shared" si="41"/>
        <v>112.88212494182881</v>
      </c>
      <c r="K89" s="14">
        <f t="shared" si="41"/>
        <v>115.47841381549085</v>
      </c>
      <c r="L89" s="14">
        <f t="shared" si="41"/>
        <v>112.47597505628809</v>
      </c>
      <c r="M89" s="14">
        <f t="shared" si="41"/>
        <v>118.88710563449651</v>
      </c>
      <c r="N89" s="14">
        <f t="shared" si="41"/>
        <v>119.3626540570345</v>
      </c>
      <c r="O89" s="14">
        <f t="shared" si="41"/>
        <v>121.98863244628929</v>
      </c>
      <c r="P89" s="14">
        <f t="shared" si="41"/>
        <v>124.55039372766136</v>
      </c>
      <c r="Q89" s="14">
        <f t="shared" si="41"/>
        <v>125.67134727121031</v>
      </c>
      <c r="R89" s="14">
        <f t="shared" si="41"/>
        <v>127.80776017482086</v>
      </c>
      <c r="S89" s="14">
        <f t="shared" si="41"/>
        <v>131.00295417919136</v>
      </c>
      <c r="T89" s="14">
        <f t="shared" si="41"/>
        <v>134.27802803367112</v>
      </c>
      <c r="U89" s="14">
        <f t="shared" si="41"/>
        <v>137.2321446504119</v>
      </c>
      <c r="V89" s="14">
        <f t="shared" si="41"/>
        <v>140.11401968807053</v>
      </c>
      <c r="W89" s="23">
        <f t="shared" si="23"/>
        <v>2.1614873358510422E-2</v>
      </c>
      <c r="X89" s="23">
        <f t="shared" si="24"/>
        <v>2.1995690092752485E-2</v>
      </c>
    </row>
    <row r="90" spans="1:24" x14ac:dyDescent="0.3">
      <c r="A90" t="s">
        <v>19</v>
      </c>
      <c r="B90" s="14">
        <f t="shared" ref="B90:V90" si="42">$B21*B67/100</f>
        <v>47.832000000000001</v>
      </c>
      <c r="C90" s="14">
        <f t="shared" si="42"/>
        <v>48.166823999999998</v>
      </c>
      <c r="D90" s="14">
        <f t="shared" si="42"/>
        <v>46.769986103999997</v>
      </c>
      <c r="E90" s="14">
        <f t="shared" si="42"/>
        <v>46.395826215168</v>
      </c>
      <c r="F90" s="14">
        <f t="shared" si="42"/>
        <v>47.694909349192706</v>
      </c>
      <c r="G90" s="14">
        <f t="shared" si="42"/>
        <v>48.839587173573328</v>
      </c>
      <c r="H90" s="14">
        <f t="shared" si="42"/>
        <v>50.30477478878052</v>
      </c>
      <c r="I90" s="14">
        <f t="shared" si="42"/>
        <v>52.92062307779711</v>
      </c>
      <c r="J90" s="14">
        <f t="shared" si="42"/>
        <v>55.249130493220179</v>
      </c>
      <c r="K90" s="14">
        <f t="shared" si="42"/>
        <v>57.182850060482885</v>
      </c>
      <c r="L90" s="14">
        <f t="shared" si="42"/>
        <v>54.838353208003085</v>
      </c>
      <c r="M90" s="14">
        <f t="shared" si="42"/>
        <v>59.444774877475346</v>
      </c>
      <c r="N90" s="14">
        <f t="shared" si="42"/>
        <v>61.049783799167173</v>
      </c>
      <c r="O90" s="14">
        <f t="shared" si="42"/>
        <v>62.514978610347185</v>
      </c>
      <c r="P90" s="14">
        <f t="shared" si="42"/>
        <v>63.577733246723071</v>
      </c>
      <c r="Q90" s="14">
        <f t="shared" si="42"/>
        <v>64.27708831243703</v>
      </c>
      <c r="R90" s="14">
        <f t="shared" si="42"/>
        <v>65.755461343623068</v>
      </c>
      <c r="S90" s="14">
        <f t="shared" si="42"/>
        <v>67.399347877213643</v>
      </c>
      <c r="T90" s="14">
        <f t="shared" si="42"/>
        <v>69.016932226266775</v>
      </c>
      <c r="U90" s="14">
        <f t="shared" si="42"/>
        <v>70.604321667470899</v>
      </c>
      <c r="V90" s="14">
        <f t="shared" si="42"/>
        <v>72.228221065822737</v>
      </c>
      <c r="W90" s="23">
        <f t="shared" si="23"/>
        <v>1.9895894720768359E-2</v>
      </c>
      <c r="X90" s="23">
        <f t="shared" si="24"/>
        <v>2.3599687515167833E-2</v>
      </c>
    </row>
    <row r="91" spans="1:24" x14ac:dyDescent="0.3">
      <c r="A91" t="s">
        <v>57</v>
      </c>
      <c r="B91" s="14">
        <f>SUM(B71:B90)</f>
        <v>1487.356</v>
      </c>
      <c r="C91" s="14">
        <f t="shared" ref="C91:V91" si="43">SUM(C71:C90)</f>
        <v>1537.6283389999999</v>
      </c>
      <c r="D91" s="14">
        <f t="shared" si="43"/>
        <v>1550.8625734999998</v>
      </c>
      <c r="E91" s="14">
        <f t="shared" si="43"/>
        <v>1566.2548418717329</v>
      </c>
      <c r="F91" s="14">
        <f t="shared" si="43"/>
        <v>1614.3230710540779</v>
      </c>
      <c r="G91" s="14">
        <f t="shared" si="43"/>
        <v>1675.6478887050753</v>
      </c>
      <c r="H91" s="14">
        <f t="shared" si="43"/>
        <v>1719.2107448075496</v>
      </c>
      <c r="I91" s="14">
        <f t="shared" si="43"/>
        <v>1802.2449936802896</v>
      </c>
      <c r="J91" s="14">
        <f t="shared" si="43"/>
        <v>1890.1023115501025</v>
      </c>
      <c r="K91" s="14">
        <f t="shared" si="43"/>
        <v>1966.1825609744183</v>
      </c>
      <c r="L91" s="14">
        <f t="shared" si="43"/>
        <v>1899.2474594654773</v>
      </c>
      <c r="M91" s="14">
        <f t="shared" si="43"/>
        <v>2025.2314023376723</v>
      </c>
      <c r="N91" s="14">
        <f t="shared" si="43"/>
        <v>2108.5955335632348</v>
      </c>
      <c r="O91" s="14">
        <f t="shared" si="43"/>
        <v>2130.7217920731787</v>
      </c>
      <c r="P91" s="14">
        <f t="shared" si="43"/>
        <v>2178.3939964158185</v>
      </c>
      <c r="Q91" s="14">
        <f t="shared" si="43"/>
        <v>2229.3812262106312</v>
      </c>
      <c r="R91" s="14">
        <f t="shared" si="43"/>
        <v>2286.4067764341471</v>
      </c>
      <c r="S91" s="14">
        <f t="shared" si="43"/>
        <v>2348.5804155479691</v>
      </c>
      <c r="T91" s="14">
        <f t="shared" si="43"/>
        <v>2411.8927460597879</v>
      </c>
      <c r="U91" s="14">
        <f t="shared" si="43"/>
        <v>2476.3083061188936</v>
      </c>
      <c r="V91" s="14">
        <f t="shared" si="43"/>
        <v>2542.0066022776987</v>
      </c>
      <c r="W91" s="23">
        <f t="shared" si="23"/>
        <v>2.7348900938501286E-2</v>
      </c>
      <c r="X91" s="23">
        <f t="shared" si="24"/>
        <v>2.6593397830938725E-2</v>
      </c>
    </row>
    <row r="93" spans="1:24" x14ac:dyDescent="0.3">
      <c r="A93" t="s">
        <v>130</v>
      </c>
      <c r="C93" s="23">
        <f>C91/B91-1</f>
        <v>3.3799802468272411E-2</v>
      </c>
      <c r="D93" s="23">
        <f t="shared" ref="D93:V93" si="44">D91/C91-1</f>
        <v>8.6069137543385299E-3</v>
      </c>
      <c r="E93" s="23">
        <f t="shared" si="44"/>
        <v>9.9249724861150135E-3</v>
      </c>
      <c r="F93" s="23">
        <f t="shared" si="44"/>
        <v>3.0689915776989096E-2</v>
      </c>
      <c r="G93" s="23">
        <f t="shared" si="44"/>
        <v>3.7987946000768602E-2</v>
      </c>
      <c r="H93" s="23">
        <f t="shared" si="44"/>
        <v>2.5997619425963903E-2</v>
      </c>
      <c r="I93" s="23">
        <f t="shared" si="44"/>
        <v>4.8297888506993347E-2</v>
      </c>
      <c r="J93" s="23">
        <f t="shared" si="44"/>
        <v>4.8748820597583231E-2</v>
      </c>
      <c r="K93" s="23">
        <f t="shared" si="44"/>
        <v>4.0251921263416257E-2</v>
      </c>
      <c r="L93" s="23">
        <f t="shared" si="44"/>
        <v>-3.4043177290601467E-2</v>
      </c>
      <c r="M93" s="23">
        <f t="shared" si="44"/>
        <v>6.6333611370290813E-2</v>
      </c>
      <c r="N93" s="23">
        <f t="shared" si="44"/>
        <v>4.1162768427023932E-2</v>
      </c>
      <c r="O93" s="23">
        <f t="shared" si="44"/>
        <v>1.049336307402382E-2</v>
      </c>
      <c r="P93" s="23">
        <f t="shared" si="44"/>
        <v>2.2373734816057311E-2</v>
      </c>
      <c r="Q93" s="23">
        <f t="shared" si="44"/>
        <v>2.3405880606861551E-2</v>
      </c>
      <c r="R93" s="23">
        <f t="shared" si="44"/>
        <v>2.5579093226888228E-2</v>
      </c>
      <c r="S93" s="23">
        <f t="shared" si="44"/>
        <v>2.7192728675685229E-2</v>
      </c>
      <c r="T93" s="23">
        <f t="shared" si="44"/>
        <v>2.6957701806879397E-2</v>
      </c>
      <c r="U93" s="23">
        <f t="shared" si="44"/>
        <v>2.670747286102948E-2</v>
      </c>
      <c r="V93" s="23">
        <f t="shared" si="44"/>
        <v>2.6530741748297837E-2</v>
      </c>
    </row>
  </sheetData>
  <pageMargins left="0.7" right="0.7" top="0.75" bottom="0.75" header="0.3" footer="0.3"/>
  <headerFooter>
    <oddFooter>&amp;R_x000D_&amp;1#&amp;"Calibri"&amp;10&amp;K000000 DC1-Internal Data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D4E74-2BF4-42A6-8976-2E559A4D47AD}">
  <dimension ref="A1:W83"/>
  <sheetViews>
    <sheetView topLeftCell="A51" zoomScale="70" zoomScaleNormal="70" workbookViewId="0">
      <selection activeCell="Q2" sqref="Q2"/>
    </sheetView>
  </sheetViews>
  <sheetFormatPr baseColWidth="10" defaultColWidth="8.88671875" defaultRowHeight="14.4" x14ac:dyDescent="0.3"/>
  <cols>
    <col min="1" max="1" width="36" bestFit="1" customWidth="1"/>
    <col min="2" max="3" width="11.109375" bestFit="1" customWidth="1"/>
    <col min="4" max="4" width="10.109375" bestFit="1" customWidth="1"/>
    <col min="5" max="11" width="11.109375" bestFit="1" customWidth="1"/>
    <col min="12" max="13" width="10.109375" bestFit="1" customWidth="1"/>
    <col min="14" max="17" width="11.109375" bestFit="1" customWidth="1"/>
    <col min="18" max="22" width="9.33203125" bestFit="1" customWidth="1"/>
  </cols>
  <sheetData>
    <row r="1" spans="1:22" s="11" customFormat="1" x14ac:dyDescent="0.3">
      <c r="A1" s="11" t="s">
        <v>20</v>
      </c>
      <c r="B1" s="11">
        <v>2010</v>
      </c>
      <c r="C1" s="11">
        <v>2011</v>
      </c>
      <c r="D1" s="11">
        <v>2012</v>
      </c>
      <c r="E1" s="11">
        <v>2013</v>
      </c>
      <c r="F1" s="11">
        <v>2014</v>
      </c>
      <c r="G1" s="11">
        <v>2015</v>
      </c>
      <c r="H1" s="11">
        <v>2016</v>
      </c>
      <c r="I1" s="11">
        <v>2017</v>
      </c>
      <c r="J1" s="11">
        <v>2018</v>
      </c>
      <c r="K1" s="11">
        <v>2019</v>
      </c>
      <c r="L1" s="11">
        <v>2020</v>
      </c>
      <c r="M1" s="11">
        <v>2021</v>
      </c>
      <c r="N1" s="11">
        <v>2022</v>
      </c>
      <c r="O1" s="11">
        <v>2023</v>
      </c>
      <c r="P1" s="11">
        <v>2024</v>
      </c>
      <c r="Q1" s="11">
        <v>2025</v>
      </c>
      <c r="R1" s="11">
        <v>2026</v>
      </c>
      <c r="S1" s="11">
        <v>2027</v>
      </c>
      <c r="T1" s="11">
        <v>2028</v>
      </c>
      <c r="U1" s="11">
        <v>2029</v>
      </c>
      <c r="V1" s="11">
        <v>2030</v>
      </c>
    </row>
    <row r="2" spans="1:22" x14ac:dyDescent="0.3">
      <c r="A2" t="s">
        <v>62</v>
      </c>
      <c r="B2" s="14">
        <v>390.14600000000002</v>
      </c>
      <c r="C2" s="14">
        <v>428.87900000000002</v>
      </c>
      <c r="D2" s="14">
        <v>407.00799999999998</v>
      </c>
      <c r="E2" s="14">
        <v>426.58699999999999</v>
      </c>
      <c r="F2" s="14">
        <v>438.66899999999998</v>
      </c>
      <c r="G2" s="14">
        <v>379.584</v>
      </c>
      <c r="H2" s="14">
        <v>393.57900000000001</v>
      </c>
      <c r="I2" s="14">
        <v>414.78</v>
      </c>
      <c r="J2" s="14">
        <v>452.78699999999998</v>
      </c>
      <c r="K2" s="14">
        <v>443.03300000000002</v>
      </c>
      <c r="L2" s="14">
        <v>434.05</v>
      </c>
      <c r="M2" s="14">
        <v>480.786</v>
      </c>
      <c r="N2" s="14">
        <v>472.14499999999998</v>
      </c>
      <c r="O2" s="14">
        <v>511.83300000000003</v>
      </c>
      <c r="P2" s="14">
        <v>523.95600000000002</v>
      </c>
      <c r="Q2" s="14">
        <v>566.45600000000002</v>
      </c>
      <c r="R2" s="14">
        <v>604.19799999999998</v>
      </c>
      <c r="S2" s="14">
        <v>625.678</v>
      </c>
      <c r="T2" s="14">
        <v>646.07299999999998</v>
      </c>
      <c r="U2" s="14">
        <v>666.33</v>
      </c>
      <c r="V2" s="14">
        <v>685.24800000000005</v>
      </c>
    </row>
    <row r="3" spans="1:22" x14ac:dyDescent="0.3">
      <c r="A3" t="s">
        <v>63</v>
      </c>
      <c r="B3" s="14">
        <v>481.94900000000001</v>
      </c>
      <c r="C3" s="14">
        <v>527.10599999999999</v>
      </c>
      <c r="D3" s="14">
        <v>498.73099999999999</v>
      </c>
      <c r="E3" s="14">
        <v>524.10599999999999</v>
      </c>
      <c r="F3" s="14">
        <v>538.12699999999995</v>
      </c>
      <c r="G3" s="14">
        <v>461.09100000000001</v>
      </c>
      <c r="H3" s="14">
        <v>474.14100000000002</v>
      </c>
      <c r="I3" s="14">
        <v>500.733</v>
      </c>
      <c r="J3" s="14">
        <v>542.88499999999999</v>
      </c>
      <c r="K3" s="14">
        <v>536.78700000000003</v>
      </c>
      <c r="L3" s="14">
        <v>529.26900000000001</v>
      </c>
      <c r="M3" s="14">
        <v>598.91999999999996</v>
      </c>
      <c r="N3" s="14">
        <v>594.08100000000002</v>
      </c>
      <c r="O3" s="14">
        <v>644.84</v>
      </c>
      <c r="P3" s="14">
        <v>664.36500000000001</v>
      </c>
      <c r="Q3" s="14">
        <v>716.98</v>
      </c>
      <c r="R3" s="14">
        <v>761.17399999999998</v>
      </c>
      <c r="S3" s="14">
        <v>780.38400000000001</v>
      </c>
      <c r="T3" s="14">
        <v>802.01900000000001</v>
      </c>
      <c r="U3" s="14">
        <v>824.34699999999998</v>
      </c>
      <c r="V3" s="14">
        <v>849.30600000000004</v>
      </c>
    </row>
    <row r="4" spans="1:22" x14ac:dyDescent="0.3">
      <c r="A4" t="s">
        <v>64</v>
      </c>
      <c r="B4" s="14">
        <v>322.346</v>
      </c>
      <c r="C4" s="14">
        <v>344.31599999999997</v>
      </c>
      <c r="D4" s="14">
        <v>326.79300000000001</v>
      </c>
      <c r="E4" s="14">
        <v>344.63099999999997</v>
      </c>
      <c r="F4" s="14">
        <v>352.83300000000003</v>
      </c>
      <c r="G4" s="14">
        <v>301.75900000000001</v>
      </c>
      <c r="H4" s="14">
        <v>312.18200000000002</v>
      </c>
      <c r="I4" s="14">
        <v>331.61099999999999</v>
      </c>
      <c r="J4" s="14">
        <v>355.29300000000001</v>
      </c>
      <c r="K4" s="14">
        <v>345.40199999999999</v>
      </c>
      <c r="L4" s="14">
        <v>355.63099999999997</v>
      </c>
      <c r="M4" s="14">
        <v>406.11</v>
      </c>
      <c r="N4" s="14">
        <v>400.11500000000001</v>
      </c>
      <c r="O4" s="14">
        <v>404.65199999999999</v>
      </c>
      <c r="P4" s="14">
        <v>424.52499999999998</v>
      </c>
      <c r="Q4" s="14">
        <v>459.61200000000002</v>
      </c>
      <c r="R4" s="14">
        <v>500.05099999999999</v>
      </c>
      <c r="S4" s="14">
        <v>521.56600000000003</v>
      </c>
      <c r="T4" s="14">
        <v>542.45500000000004</v>
      </c>
      <c r="U4" s="14">
        <v>563.66800000000001</v>
      </c>
      <c r="V4" s="14">
        <v>585.83500000000004</v>
      </c>
    </row>
    <row r="5" spans="1:22" x14ac:dyDescent="0.3">
      <c r="A5" t="s">
        <v>65</v>
      </c>
      <c r="B5" s="14">
        <v>249.63300000000001</v>
      </c>
      <c r="C5" s="14">
        <v>275.07900000000001</v>
      </c>
      <c r="D5" s="14">
        <v>257.60599999999999</v>
      </c>
      <c r="E5" s="14">
        <v>270.27199999999999</v>
      </c>
      <c r="F5" s="14">
        <v>273.54899999999998</v>
      </c>
      <c r="G5" s="14">
        <v>233.23400000000001</v>
      </c>
      <c r="H5" s="14">
        <v>238.71199999999999</v>
      </c>
      <c r="I5" s="14">
        <v>253.75700000000001</v>
      </c>
      <c r="J5" s="14">
        <v>273.99299999999999</v>
      </c>
      <c r="K5" s="14">
        <v>267.04399999999998</v>
      </c>
      <c r="L5" s="14">
        <v>269.78399999999999</v>
      </c>
      <c r="M5" s="14">
        <v>294.41899999999998</v>
      </c>
      <c r="N5" s="14">
        <v>280.47399999999999</v>
      </c>
      <c r="O5" s="14">
        <v>295.13499999999999</v>
      </c>
      <c r="P5" s="14">
        <v>298.60700000000003</v>
      </c>
      <c r="Q5" s="14">
        <v>314.72399999999999</v>
      </c>
      <c r="R5" s="14">
        <v>335.53399999999999</v>
      </c>
      <c r="S5" s="14">
        <v>346.30900000000003</v>
      </c>
      <c r="T5" s="14">
        <v>356.83</v>
      </c>
      <c r="U5" s="14">
        <v>368.66699999999997</v>
      </c>
      <c r="V5" s="14">
        <v>381.54700000000003</v>
      </c>
    </row>
    <row r="6" spans="1:22" x14ac:dyDescent="0.3">
      <c r="A6" t="s">
        <v>66</v>
      </c>
      <c r="B6" s="14">
        <v>2648.3910000000001</v>
      </c>
      <c r="C6" s="14">
        <v>2869.9029999999998</v>
      </c>
      <c r="D6" s="14">
        <v>2684.7060000000001</v>
      </c>
      <c r="E6" s="14">
        <v>2816.1190000000001</v>
      </c>
      <c r="F6" s="14">
        <v>2861.973</v>
      </c>
      <c r="G6" s="14">
        <v>2442.7310000000002</v>
      </c>
      <c r="H6" s="14">
        <v>2469.7260000000001</v>
      </c>
      <c r="I6" s="14">
        <v>2587.9549999999999</v>
      </c>
      <c r="J6" s="14">
        <v>2782.8380000000002</v>
      </c>
      <c r="K6" s="14">
        <v>2723.0940000000001</v>
      </c>
      <c r="L6" s="14">
        <v>2645.806</v>
      </c>
      <c r="M6" s="14">
        <v>2968.4050000000002</v>
      </c>
      <c r="N6" s="14">
        <v>2796.9870000000001</v>
      </c>
      <c r="O6" s="14">
        <v>3061.0929999999998</v>
      </c>
      <c r="P6" s="14">
        <v>3160.902</v>
      </c>
      <c r="Q6" s="14">
        <v>3361.5569999999998</v>
      </c>
      <c r="R6" s="14">
        <v>3558.5619999999999</v>
      </c>
      <c r="S6" s="14">
        <v>3661.0839999999998</v>
      </c>
      <c r="T6" s="14">
        <v>3772.8359999999998</v>
      </c>
      <c r="U6" s="14">
        <v>3890.0010000000002</v>
      </c>
      <c r="V6" s="14">
        <v>4009.1709999999998</v>
      </c>
    </row>
    <row r="7" spans="1:22" x14ac:dyDescent="0.3">
      <c r="A7" t="s">
        <v>67</v>
      </c>
      <c r="B7" s="14">
        <v>3469.9250000000002</v>
      </c>
      <c r="C7" s="14">
        <v>3822.9029999999998</v>
      </c>
      <c r="D7" s="14">
        <v>3598.761</v>
      </c>
      <c r="E7" s="14">
        <v>3807.0790000000002</v>
      </c>
      <c r="F7" s="14">
        <v>3965.893</v>
      </c>
      <c r="G7" s="14">
        <v>3425.4459999999999</v>
      </c>
      <c r="H7" s="14">
        <v>3535.8119999999999</v>
      </c>
      <c r="I7" s="14">
        <v>3764.0230000000001</v>
      </c>
      <c r="J7" s="14">
        <v>4057.2719999999999</v>
      </c>
      <c r="K7" s="14">
        <v>3960.3319999999999</v>
      </c>
      <c r="L7" s="14">
        <v>3938.2440000000001</v>
      </c>
      <c r="M7" s="14">
        <v>4358.1469999999999</v>
      </c>
      <c r="N7" s="14">
        <v>4204.3270000000002</v>
      </c>
      <c r="O7" s="14">
        <v>4563.5230000000001</v>
      </c>
      <c r="P7" s="14">
        <v>4684.1819999999998</v>
      </c>
      <c r="Q7" s="14">
        <v>5013.5739999999996</v>
      </c>
      <c r="R7" s="14">
        <v>5328.1840000000002</v>
      </c>
      <c r="S7" s="14">
        <v>5498.6180000000004</v>
      </c>
      <c r="T7" s="14">
        <v>5674.3540000000003</v>
      </c>
      <c r="U7" s="14">
        <v>5848.2950000000001</v>
      </c>
      <c r="V7" s="14">
        <v>6013.7489999999998</v>
      </c>
    </row>
    <row r="8" spans="1:22" x14ac:dyDescent="0.3">
      <c r="A8" t="s">
        <v>68</v>
      </c>
      <c r="B8" s="14">
        <v>296.66000000000003</v>
      </c>
      <c r="C8" s="14">
        <v>283.178</v>
      </c>
      <c r="D8" s="14">
        <v>238.99199999999999</v>
      </c>
      <c r="E8" s="14">
        <v>236.56</v>
      </c>
      <c r="F8" s="14">
        <v>233.97200000000001</v>
      </c>
      <c r="G8" s="14">
        <v>194.58699999999999</v>
      </c>
      <c r="H8" s="14">
        <v>193.04400000000001</v>
      </c>
      <c r="I8" s="14">
        <v>200.31</v>
      </c>
      <c r="J8" s="14">
        <v>213.39599999999999</v>
      </c>
      <c r="K8" s="14">
        <v>207.32900000000001</v>
      </c>
      <c r="L8" s="14">
        <v>191.21</v>
      </c>
      <c r="M8" s="14">
        <v>218.44900000000001</v>
      </c>
      <c r="N8" s="14">
        <v>219.053</v>
      </c>
      <c r="O8" s="14">
        <v>243.56899999999999</v>
      </c>
      <c r="P8" s="14">
        <v>257.06700000000001</v>
      </c>
      <c r="Q8" s="14">
        <v>282.01900000000001</v>
      </c>
      <c r="R8" s="14">
        <v>304.83800000000002</v>
      </c>
      <c r="S8" s="14">
        <v>316.71100000000001</v>
      </c>
      <c r="T8" s="14">
        <v>327.92099999999999</v>
      </c>
      <c r="U8" s="14">
        <v>339.47800000000001</v>
      </c>
      <c r="V8" s="14">
        <v>351.60700000000003</v>
      </c>
    </row>
    <row r="9" spans="1:22" x14ac:dyDescent="0.3">
      <c r="A9" t="s">
        <v>69</v>
      </c>
      <c r="B9" s="14">
        <v>221.91399999999999</v>
      </c>
      <c r="C9" s="14">
        <v>240.934</v>
      </c>
      <c r="D9" s="14">
        <v>227.066</v>
      </c>
      <c r="E9" s="14">
        <v>242.928</v>
      </c>
      <c r="F9" s="14">
        <v>266.55900000000003</v>
      </c>
      <c r="G9" s="14">
        <v>302.13299999999998</v>
      </c>
      <c r="H9" s="14">
        <v>305.34699999999998</v>
      </c>
      <c r="I9" s="14">
        <v>348.23200000000003</v>
      </c>
      <c r="J9" s="14">
        <v>395.96</v>
      </c>
      <c r="K9" s="14">
        <v>407.25599999999997</v>
      </c>
      <c r="L9" s="14">
        <v>435.65899999999999</v>
      </c>
      <c r="M9" s="14">
        <v>530.74699999999996</v>
      </c>
      <c r="N9" s="14">
        <v>548.77300000000002</v>
      </c>
      <c r="O9" s="14">
        <v>567.53700000000003</v>
      </c>
      <c r="P9" s="14">
        <v>608.97400000000005</v>
      </c>
      <c r="Q9" s="14">
        <v>708.77099999999996</v>
      </c>
      <c r="R9" s="14">
        <v>750.11199999999997</v>
      </c>
      <c r="S9" s="14">
        <v>779.06299999999999</v>
      </c>
      <c r="T9" s="14">
        <v>810.88499999999999</v>
      </c>
      <c r="U9" s="14">
        <v>844.92100000000005</v>
      </c>
      <c r="V9" s="14">
        <v>880.83199999999999</v>
      </c>
    </row>
    <row r="10" spans="1:22" x14ac:dyDescent="0.3">
      <c r="A10" t="s">
        <v>70</v>
      </c>
      <c r="B10" s="14">
        <v>2146.6869999999999</v>
      </c>
      <c r="C10" s="14">
        <v>2306.5680000000002</v>
      </c>
      <c r="D10" s="14">
        <v>2099.259</v>
      </c>
      <c r="E10" s="14">
        <v>2153.259</v>
      </c>
      <c r="F10" s="14">
        <v>2173.8150000000001</v>
      </c>
      <c r="G10" s="14">
        <v>1845.615</v>
      </c>
      <c r="H10" s="14">
        <v>1886.59</v>
      </c>
      <c r="I10" s="14">
        <v>1970.027</v>
      </c>
      <c r="J10" s="14">
        <v>2100.3870000000002</v>
      </c>
      <c r="K10" s="14">
        <v>2019.8309999999999</v>
      </c>
      <c r="L10" s="14">
        <v>1905.9559999999999</v>
      </c>
      <c r="M10" s="14">
        <v>2180.6570000000002</v>
      </c>
      <c r="N10" s="14">
        <v>2105.723</v>
      </c>
      <c r="O10" s="14">
        <v>2305.27</v>
      </c>
      <c r="P10" s="14">
        <v>2372.0590000000002</v>
      </c>
      <c r="Q10" s="14">
        <v>2543.6770000000001</v>
      </c>
      <c r="R10" s="14">
        <v>2701.5439999999999</v>
      </c>
      <c r="S10" s="14">
        <v>2764.0529999999999</v>
      </c>
      <c r="T10" s="14">
        <v>2833.607</v>
      </c>
      <c r="U10" s="14">
        <v>2908.154</v>
      </c>
      <c r="V10" s="14">
        <v>2985.05</v>
      </c>
    </row>
    <row r="11" spans="1:22" x14ac:dyDescent="0.3">
      <c r="A11" t="s">
        <v>71</v>
      </c>
      <c r="B11" s="14">
        <v>56.26</v>
      </c>
      <c r="C11" s="14">
        <v>61.685000000000002</v>
      </c>
      <c r="D11" s="14">
        <v>59.814</v>
      </c>
      <c r="E11" s="14">
        <v>65.203999999999994</v>
      </c>
      <c r="F11" s="14">
        <v>68.822000000000003</v>
      </c>
      <c r="G11" s="14">
        <v>60.078000000000003</v>
      </c>
      <c r="H11" s="14">
        <v>62.2</v>
      </c>
      <c r="I11" s="14">
        <v>65.688999999999993</v>
      </c>
      <c r="J11" s="14">
        <v>71.117999999999995</v>
      </c>
      <c r="K11" s="14">
        <v>69.88</v>
      </c>
      <c r="L11" s="14">
        <v>73.611999999999995</v>
      </c>
      <c r="M11" s="14">
        <v>86.444000000000003</v>
      </c>
      <c r="N11" s="14">
        <v>80.864999999999995</v>
      </c>
      <c r="O11" s="14">
        <v>88.814999999999998</v>
      </c>
      <c r="P11" s="14">
        <v>93.251999999999995</v>
      </c>
      <c r="Q11" s="14">
        <v>100.642</v>
      </c>
      <c r="R11" s="14">
        <v>107.758</v>
      </c>
      <c r="S11" s="14">
        <v>112.169</v>
      </c>
      <c r="T11" s="14">
        <v>116.867</v>
      </c>
      <c r="U11" s="14">
        <v>121.71599999999999</v>
      </c>
      <c r="V11" s="14">
        <v>126.82899999999999</v>
      </c>
    </row>
    <row r="12" spans="1:22" x14ac:dyDescent="0.3">
      <c r="A12" t="s">
        <v>72</v>
      </c>
      <c r="B12" s="14">
        <v>9.1039999999999992</v>
      </c>
      <c r="C12" s="14">
        <v>9.7880000000000003</v>
      </c>
      <c r="D12" s="14">
        <v>9.6159999999999997</v>
      </c>
      <c r="E12" s="14">
        <v>10.797000000000001</v>
      </c>
      <c r="F12" s="14">
        <v>11.891</v>
      </c>
      <c r="G12" s="14">
        <v>11.342000000000001</v>
      </c>
      <c r="H12" s="14">
        <v>12.022</v>
      </c>
      <c r="I12" s="14">
        <v>14.156000000000001</v>
      </c>
      <c r="J12" s="14">
        <v>16.161000000000001</v>
      </c>
      <c r="K12" s="14">
        <v>16.34</v>
      </c>
      <c r="L12" s="14">
        <v>16.391999999999999</v>
      </c>
      <c r="M12" s="14">
        <v>19.753</v>
      </c>
      <c r="N12" s="14">
        <v>18.943000000000001</v>
      </c>
      <c r="O12" s="14">
        <v>22.617000000000001</v>
      </c>
      <c r="P12" s="14">
        <v>24.963999999999999</v>
      </c>
      <c r="Q12" s="14">
        <v>27.745000000000001</v>
      </c>
      <c r="R12" s="14">
        <v>30.437000000000001</v>
      </c>
      <c r="S12" s="14">
        <v>32.210999999999999</v>
      </c>
      <c r="T12" s="14">
        <v>34.113999999999997</v>
      </c>
      <c r="U12" s="14">
        <v>36.158000000000001</v>
      </c>
      <c r="V12" s="14">
        <v>38.338999999999999</v>
      </c>
    </row>
    <row r="13" spans="1:22" x14ac:dyDescent="0.3">
      <c r="A13" t="s">
        <v>73</v>
      </c>
      <c r="B13" s="14">
        <v>853.16099999999994</v>
      </c>
      <c r="C13" s="14">
        <v>912.98</v>
      </c>
      <c r="D13" s="14">
        <v>846.22500000000002</v>
      </c>
      <c r="E13" s="14">
        <v>883.96400000000006</v>
      </c>
      <c r="F13" s="14">
        <v>901.78899999999999</v>
      </c>
      <c r="G13" s="14">
        <v>775.822</v>
      </c>
      <c r="H13" s="14">
        <v>796.94399999999996</v>
      </c>
      <c r="I13" s="14">
        <v>847.93399999999997</v>
      </c>
      <c r="J13" s="14">
        <v>930.15499999999997</v>
      </c>
      <c r="K13" s="14">
        <v>929.00599999999997</v>
      </c>
      <c r="L13" s="14">
        <v>931.81399999999996</v>
      </c>
      <c r="M13" s="14">
        <v>1055.173</v>
      </c>
      <c r="N13" s="14">
        <v>1047.364</v>
      </c>
      <c r="O13" s="14">
        <v>1135.8030000000001</v>
      </c>
      <c r="P13" s="14">
        <v>1214.5619999999999</v>
      </c>
      <c r="Q13" s="14">
        <v>1320.635</v>
      </c>
      <c r="R13" s="14">
        <v>1413.076</v>
      </c>
      <c r="S13" s="14">
        <v>1461.316</v>
      </c>
      <c r="T13" s="14">
        <v>1508.5219999999999</v>
      </c>
      <c r="U13" s="14">
        <v>1557.8979999999999</v>
      </c>
      <c r="V13" s="14">
        <v>1607.568</v>
      </c>
    </row>
    <row r="14" spans="1:22" x14ac:dyDescent="0.3">
      <c r="A14" t="s">
        <v>74</v>
      </c>
      <c r="B14" s="14">
        <v>431.05200000000002</v>
      </c>
      <c r="C14" s="14">
        <v>501.36099999999999</v>
      </c>
      <c r="D14" s="14">
        <v>512.77700000000004</v>
      </c>
      <c r="E14" s="14">
        <v>526.01400000000001</v>
      </c>
      <c r="F14" s="14">
        <v>501.73700000000002</v>
      </c>
      <c r="G14" s="14">
        <v>388.16</v>
      </c>
      <c r="H14" s="14">
        <v>370.95699999999999</v>
      </c>
      <c r="I14" s="14">
        <v>401.745</v>
      </c>
      <c r="J14" s="14">
        <v>439.78899999999999</v>
      </c>
      <c r="K14" s="14">
        <v>408.74299999999999</v>
      </c>
      <c r="L14" s="14">
        <v>367.63299999999998</v>
      </c>
      <c r="M14" s="14">
        <v>503.36799999999999</v>
      </c>
      <c r="N14" s="14">
        <v>596.298</v>
      </c>
      <c r="O14" s="14">
        <v>482.95</v>
      </c>
      <c r="P14" s="14">
        <v>483.59300000000002</v>
      </c>
      <c r="Q14" s="14">
        <v>517.10199999999998</v>
      </c>
      <c r="R14" s="14">
        <v>547.69299999999998</v>
      </c>
      <c r="S14" s="14">
        <v>566.05899999999997</v>
      </c>
      <c r="T14" s="14">
        <v>583.57600000000002</v>
      </c>
      <c r="U14" s="14">
        <v>602.03099999999995</v>
      </c>
      <c r="V14" s="14">
        <v>621.81100000000004</v>
      </c>
    </row>
    <row r="15" spans="1:22" x14ac:dyDescent="0.3">
      <c r="A15" t="s">
        <v>75</v>
      </c>
      <c r="B15" s="14">
        <v>238.63900000000001</v>
      </c>
      <c r="C15" s="14">
        <v>245.38300000000001</v>
      </c>
      <c r="D15" s="14">
        <v>216.67400000000001</v>
      </c>
      <c r="E15" s="14">
        <v>226.68100000000001</v>
      </c>
      <c r="F15" s="14">
        <v>230.13800000000001</v>
      </c>
      <c r="G15" s="14">
        <v>199.059</v>
      </c>
      <c r="H15" s="14">
        <v>206.249</v>
      </c>
      <c r="I15" s="14">
        <v>220.785</v>
      </c>
      <c r="J15" s="14">
        <v>242.203</v>
      </c>
      <c r="K15" s="14">
        <v>240.142</v>
      </c>
      <c r="L15" s="14">
        <v>229.435</v>
      </c>
      <c r="M15" s="14">
        <v>256.226</v>
      </c>
      <c r="N15" s="14">
        <v>257.101</v>
      </c>
      <c r="O15" s="14">
        <v>289.78100000000001</v>
      </c>
      <c r="P15" s="14">
        <v>308.58100000000002</v>
      </c>
      <c r="Q15" s="14">
        <v>337.93599999999998</v>
      </c>
      <c r="R15" s="14">
        <v>364.52699999999999</v>
      </c>
      <c r="S15" s="14">
        <v>377.23399999999998</v>
      </c>
      <c r="T15" s="14">
        <v>390.74200000000002</v>
      </c>
      <c r="U15" s="14">
        <v>405.05900000000003</v>
      </c>
      <c r="V15" s="14">
        <v>420.08300000000003</v>
      </c>
    </row>
    <row r="16" spans="1:22" x14ac:dyDescent="0.3">
      <c r="A16" t="s">
        <v>76</v>
      </c>
      <c r="B16" s="14">
        <v>1429.155</v>
      </c>
      <c r="C16" s="14">
        <v>1487.307</v>
      </c>
      <c r="D16" s="14">
        <v>1331.838</v>
      </c>
      <c r="E16" s="14">
        <v>1362.2070000000001</v>
      </c>
      <c r="F16" s="14">
        <v>1380.6</v>
      </c>
      <c r="G16" s="14">
        <v>1206.287</v>
      </c>
      <c r="H16" s="14">
        <v>1242.673</v>
      </c>
      <c r="I16" s="14">
        <v>1321.288</v>
      </c>
      <c r="J16" s="14">
        <v>1432.2919999999999</v>
      </c>
      <c r="K16" s="14">
        <v>1403.6510000000001</v>
      </c>
      <c r="L16" s="14">
        <v>1288.751</v>
      </c>
      <c r="M16" s="14">
        <v>1462.2159999999999</v>
      </c>
      <c r="N16" s="14">
        <v>1449.99</v>
      </c>
      <c r="O16" s="14">
        <v>1619.9490000000001</v>
      </c>
      <c r="P16" s="14">
        <v>1725.152</v>
      </c>
      <c r="Q16" s="14">
        <v>1891.3710000000001</v>
      </c>
      <c r="R16" s="14">
        <v>2041.83</v>
      </c>
      <c r="S16" s="14">
        <v>2129.6149999999998</v>
      </c>
      <c r="T16" s="14">
        <v>2208.7040000000002</v>
      </c>
      <c r="U16" s="14">
        <v>2292.69</v>
      </c>
      <c r="V16" s="14">
        <v>2380.0169999999998</v>
      </c>
    </row>
    <row r="17" spans="1:22" x14ac:dyDescent="0.3">
      <c r="A17" t="s">
        <v>77</v>
      </c>
      <c r="B17" s="14">
        <v>492.75099999999998</v>
      </c>
      <c r="C17" s="14">
        <v>570.53899999999999</v>
      </c>
      <c r="D17" s="14">
        <v>549.74</v>
      </c>
      <c r="E17" s="14">
        <v>584.125</v>
      </c>
      <c r="F17" s="14">
        <v>577.72799999999995</v>
      </c>
      <c r="G17" s="14">
        <v>501.60199999999998</v>
      </c>
      <c r="H17" s="14">
        <v>513.05799999999999</v>
      </c>
      <c r="I17" s="14">
        <v>535.17200000000003</v>
      </c>
      <c r="J17" s="14">
        <v>549.649</v>
      </c>
      <c r="K17" s="14">
        <v>530.89400000000001</v>
      </c>
      <c r="L17" s="14">
        <v>544.26599999999996</v>
      </c>
      <c r="M17" s="14">
        <v>631.69299999999998</v>
      </c>
      <c r="N17" s="14">
        <v>575.07100000000003</v>
      </c>
      <c r="O17" s="14">
        <v>578.99099999999999</v>
      </c>
      <c r="P17" s="14">
        <v>603.71500000000003</v>
      </c>
      <c r="Q17" s="14">
        <v>662.31799999999998</v>
      </c>
      <c r="R17" s="14">
        <v>711.50300000000004</v>
      </c>
      <c r="S17" s="14">
        <v>740.51300000000003</v>
      </c>
      <c r="T17" s="14">
        <v>770.06200000000001</v>
      </c>
      <c r="U17" s="14">
        <v>800.50199999999995</v>
      </c>
      <c r="V17" s="14">
        <v>832.1</v>
      </c>
    </row>
    <row r="18" spans="1:22" x14ac:dyDescent="0.3">
      <c r="A18" t="s">
        <v>78</v>
      </c>
      <c r="B18" s="14">
        <v>598.33699999999999</v>
      </c>
      <c r="C18" s="14">
        <v>715.85699999999997</v>
      </c>
      <c r="D18" s="14">
        <v>686.54200000000003</v>
      </c>
      <c r="E18" s="14">
        <v>706.78399999999999</v>
      </c>
      <c r="F18" s="14">
        <v>726.66399999999999</v>
      </c>
      <c r="G18" s="14">
        <v>693.81399999999996</v>
      </c>
      <c r="H18" s="14">
        <v>687.76599999999996</v>
      </c>
      <c r="I18" s="14">
        <v>695.50699999999995</v>
      </c>
      <c r="J18" s="14">
        <v>725.88900000000001</v>
      </c>
      <c r="K18" s="14">
        <v>721.89599999999996</v>
      </c>
      <c r="L18" s="14">
        <v>741.28800000000001</v>
      </c>
      <c r="M18" s="14">
        <v>814.69600000000003</v>
      </c>
      <c r="N18" s="14">
        <v>828.51300000000003</v>
      </c>
      <c r="O18" s="14">
        <v>894.81500000000005</v>
      </c>
      <c r="P18" s="14">
        <v>938.15300000000002</v>
      </c>
      <c r="Q18" s="14">
        <v>1002.6660000000001</v>
      </c>
      <c r="R18" s="14">
        <v>1074.588</v>
      </c>
      <c r="S18" s="14">
        <v>1114.3779999999999</v>
      </c>
      <c r="T18" s="14">
        <v>1163.1289999999999</v>
      </c>
      <c r="U18" s="14">
        <v>1206.5340000000001</v>
      </c>
      <c r="V18" s="14">
        <v>1259.0719999999999</v>
      </c>
    </row>
    <row r="19" spans="1:22" x14ac:dyDescent="0.3">
      <c r="A19" t="s">
        <v>79</v>
      </c>
      <c r="B19" s="14">
        <v>2487.924</v>
      </c>
      <c r="C19" s="14">
        <v>2664.7190000000001</v>
      </c>
      <c r="D19" s="14">
        <v>2707.5709999999999</v>
      </c>
      <c r="E19" s="14">
        <v>2786.665</v>
      </c>
      <c r="F19" s="14">
        <v>3066.3040000000001</v>
      </c>
      <c r="G19" s="14">
        <v>2928.558</v>
      </c>
      <c r="H19" s="14">
        <v>2699.0859999999998</v>
      </c>
      <c r="I19" s="14">
        <v>2682.384</v>
      </c>
      <c r="J19" s="14">
        <v>2875.0239999999999</v>
      </c>
      <c r="K19" s="14">
        <v>2853.0740000000001</v>
      </c>
      <c r="L19" s="14">
        <v>2698.7049999999999</v>
      </c>
      <c r="M19" s="14">
        <v>3144.0790000000002</v>
      </c>
      <c r="N19" s="14">
        <v>3125.404</v>
      </c>
      <c r="O19" s="14">
        <v>3371.1179999999999</v>
      </c>
      <c r="P19" s="14">
        <v>3644.636</v>
      </c>
      <c r="Q19" s="14">
        <v>3958.78</v>
      </c>
      <c r="R19" s="14">
        <v>4225.6390000000001</v>
      </c>
      <c r="S19" s="14">
        <v>4441.8710000000001</v>
      </c>
      <c r="T19" s="14">
        <v>4673.3590000000004</v>
      </c>
      <c r="U19" s="14">
        <v>4928.634</v>
      </c>
      <c r="V19" s="14">
        <v>5199.7790000000005</v>
      </c>
    </row>
    <row r="20" spans="1:22" x14ac:dyDescent="0.3">
      <c r="A20" t="s">
        <v>57</v>
      </c>
      <c r="B20" s="14">
        <f>SUM(B2:B19)</f>
        <v>16824.034</v>
      </c>
      <c r="C20" s="14">
        <f t="shared" ref="C20:V20" si="0">SUM(C2:C19)</f>
        <v>18268.485000000001</v>
      </c>
      <c r="D20" s="14">
        <f t="shared" si="0"/>
        <v>17259.719000000001</v>
      </c>
      <c r="E20" s="14">
        <f t="shared" si="0"/>
        <v>17973.982</v>
      </c>
      <c r="F20" s="14">
        <f t="shared" si="0"/>
        <v>18571.063000000002</v>
      </c>
      <c r="G20" s="14">
        <f t="shared" si="0"/>
        <v>16350.902000000002</v>
      </c>
      <c r="H20" s="14">
        <f t="shared" si="0"/>
        <v>16400.088</v>
      </c>
      <c r="I20" s="14">
        <f t="shared" si="0"/>
        <v>17156.088000000003</v>
      </c>
      <c r="J20" s="14">
        <f t="shared" si="0"/>
        <v>18457.091</v>
      </c>
      <c r="K20" s="14">
        <f t="shared" si="0"/>
        <v>18083.734</v>
      </c>
      <c r="L20" s="14">
        <f t="shared" si="0"/>
        <v>17597.504999999997</v>
      </c>
      <c r="M20" s="14">
        <f t="shared" si="0"/>
        <v>20010.288000000004</v>
      </c>
      <c r="N20" s="14">
        <f t="shared" si="0"/>
        <v>19601.226999999999</v>
      </c>
      <c r="O20" s="14">
        <f t="shared" si="0"/>
        <v>21082.291000000001</v>
      </c>
      <c r="P20" s="14">
        <f t="shared" si="0"/>
        <v>22031.244999999999</v>
      </c>
      <c r="Q20" s="14">
        <f t="shared" si="0"/>
        <v>23786.564999999999</v>
      </c>
      <c r="R20" s="14">
        <f t="shared" si="0"/>
        <v>25361.247999999996</v>
      </c>
      <c r="S20" s="14">
        <f t="shared" si="0"/>
        <v>26268.831999999999</v>
      </c>
      <c r="T20" s="14">
        <f t="shared" si="0"/>
        <v>27216.055000000004</v>
      </c>
      <c r="U20" s="14">
        <f t="shared" si="0"/>
        <v>28205.082999999999</v>
      </c>
      <c r="V20" s="14">
        <f t="shared" si="0"/>
        <v>29227.942999999999</v>
      </c>
    </row>
    <row r="22" spans="1:22" x14ac:dyDescent="0.3">
      <c r="A22" s="11" t="s">
        <v>21</v>
      </c>
      <c r="B22" s="11">
        <v>2010</v>
      </c>
      <c r="C22" s="11">
        <v>2011</v>
      </c>
      <c r="D22" s="11">
        <v>2012</v>
      </c>
      <c r="E22" s="11">
        <v>2013</v>
      </c>
      <c r="F22" s="11">
        <v>2014</v>
      </c>
      <c r="G22" s="11">
        <v>2015</v>
      </c>
      <c r="H22" s="11">
        <v>2016</v>
      </c>
      <c r="I22" s="11">
        <v>2017</v>
      </c>
      <c r="J22" s="11">
        <v>2018</v>
      </c>
      <c r="K22" s="11">
        <v>2019</v>
      </c>
      <c r="L22" s="11">
        <v>2020</v>
      </c>
      <c r="M22" s="11">
        <v>2021</v>
      </c>
      <c r="N22" s="11">
        <v>2022</v>
      </c>
      <c r="O22" s="11">
        <v>2023</v>
      </c>
      <c r="P22" s="11">
        <v>2024</v>
      </c>
      <c r="Q22" s="11">
        <v>2025</v>
      </c>
      <c r="R22" s="11">
        <v>2026</v>
      </c>
      <c r="S22" s="11">
        <v>2027</v>
      </c>
      <c r="T22" s="11">
        <v>2028</v>
      </c>
      <c r="U22" s="11">
        <v>2029</v>
      </c>
      <c r="V22" s="11">
        <v>2030</v>
      </c>
    </row>
    <row r="23" spans="1:22" x14ac:dyDescent="0.3">
      <c r="A23" t="s">
        <v>62</v>
      </c>
      <c r="B23">
        <v>1.8</v>
      </c>
      <c r="C23">
        <v>2.9</v>
      </c>
      <c r="D23">
        <v>0.6</v>
      </c>
      <c r="E23">
        <v>-0.3</v>
      </c>
      <c r="F23">
        <v>0.8</v>
      </c>
      <c r="G23">
        <v>1.3</v>
      </c>
      <c r="H23">
        <v>2.1</v>
      </c>
      <c r="I23">
        <v>2.2999999999999998</v>
      </c>
      <c r="J23">
        <v>2.5</v>
      </c>
      <c r="K23">
        <v>1.8</v>
      </c>
      <c r="L23">
        <v>-6.3</v>
      </c>
      <c r="M23">
        <v>4.8</v>
      </c>
      <c r="N23">
        <v>5.3</v>
      </c>
      <c r="O23">
        <v>-1</v>
      </c>
      <c r="P23">
        <v>-1</v>
      </c>
      <c r="Q23">
        <v>0.3</v>
      </c>
      <c r="R23">
        <v>0.8</v>
      </c>
      <c r="S23">
        <v>1.6</v>
      </c>
      <c r="T23">
        <v>1.3</v>
      </c>
      <c r="U23">
        <v>1</v>
      </c>
      <c r="V23">
        <v>0.7</v>
      </c>
    </row>
    <row r="24" spans="1:22" x14ac:dyDescent="0.3">
      <c r="A24" t="s">
        <v>63</v>
      </c>
      <c r="B24">
        <v>2.7</v>
      </c>
      <c r="C24">
        <v>1.9</v>
      </c>
      <c r="D24">
        <v>0.2</v>
      </c>
      <c r="E24">
        <v>0.3</v>
      </c>
      <c r="F24">
        <v>1.8</v>
      </c>
      <c r="G24">
        <v>1.5</v>
      </c>
      <c r="H24">
        <v>1.2</v>
      </c>
      <c r="I24">
        <v>1.5</v>
      </c>
      <c r="J24">
        <v>1.9</v>
      </c>
      <c r="K24">
        <v>2.4</v>
      </c>
      <c r="L24">
        <v>-4.8</v>
      </c>
      <c r="M24">
        <v>6.2</v>
      </c>
      <c r="N24">
        <v>4.3</v>
      </c>
      <c r="O24">
        <v>1.2</v>
      </c>
      <c r="P24">
        <v>1</v>
      </c>
      <c r="Q24">
        <v>1.1000000000000001</v>
      </c>
      <c r="R24">
        <v>1</v>
      </c>
      <c r="S24">
        <v>1.3</v>
      </c>
      <c r="T24">
        <v>1.2</v>
      </c>
      <c r="U24">
        <v>1.3</v>
      </c>
      <c r="V24">
        <v>1.3</v>
      </c>
    </row>
    <row r="25" spans="1:22" x14ac:dyDescent="0.3">
      <c r="A25" t="s">
        <v>64</v>
      </c>
      <c r="B25">
        <v>1.6</v>
      </c>
      <c r="C25">
        <v>1.3</v>
      </c>
      <c r="D25">
        <v>0</v>
      </c>
      <c r="E25">
        <v>1.4</v>
      </c>
      <c r="F25">
        <v>1.3</v>
      </c>
      <c r="G25">
        <v>2.1</v>
      </c>
      <c r="H25">
        <v>3.1</v>
      </c>
      <c r="I25">
        <v>3.1</v>
      </c>
      <c r="J25">
        <v>1.9</v>
      </c>
      <c r="K25">
        <v>1.7</v>
      </c>
      <c r="L25">
        <v>-1.8</v>
      </c>
      <c r="M25">
        <v>6.5</v>
      </c>
      <c r="N25">
        <v>0.4</v>
      </c>
      <c r="O25">
        <v>0.6</v>
      </c>
      <c r="P25">
        <v>3.5</v>
      </c>
      <c r="Q25">
        <v>1.8</v>
      </c>
      <c r="R25">
        <v>2.2000000000000002</v>
      </c>
      <c r="S25">
        <v>1.6</v>
      </c>
      <c r="T25">
        <v>1.5</v>
      </c>
      <c r="U25">
        <v>1.5</v>
      </c>
      <c r="V25">
        <v>1.5</v>
      </c>
    </row>
    <row r="26" spans="1:22" x14ac:dyDescent="0.3">
      <c r="A26" t="s">
        <v>65</v>
      </c>
      <c r="B26">
        <v>3.2</v>
      </c>
      <c r="C26">
        <v>2.4</v>
      </c>
      <c r="D26">
        <v>-1.5</v>
      </c>
      <c r="E26">
        <v>-1</v>
      </c>
      <c r="F26">
        <v>-0.5</v>
      </c>
      <c r="G26">
        <v>0.5</v>
      </c>
      <c r="H26">
        <v>2.6</v>
      </c>
      <c r="I26">
        <v>3.3</v>
      </c>
      <c r="J26">
        <v>1.2</v>
      </c>
      <c r="K26">
        <v>1.3</v>
      </c>
      <c r="L26">
        <v>-2.5</v>
      </c>
      <c r="M26">
        <v>2.7</v>
      </c>
      <c r="N26">
        <v>0.8</v>
      </c>
      <c r="O26">
        <v>-0.9</v>
      </c>
      <c r="P26">
        <v>0.4</v>
      </c>
      <c r="Q26">
        <v>0.5</v>
      </c>
      <c r="R26">
        <v>1.3</v>
      </c>
      <c r="S26">
        <v>1.3</v>
      </c>
      <c r="T26">
        <v>1.3</v>
      </c>
      <c r="U26">
        <v>1.2</v>
      </c>
      <c r="V26">
        <v>1.2</v>
      </c>
    </row>
    <row r="27" spans="1:22" x14ac:dyDescent="0.3">
      <c r="A27" t="s">
        <v>66</v>
      </c>
      <c r="B27">
        <v>1.8</v>
      </c>
      <c r="C27">
        <v>2.5</v>
      </c>
      <c r="D27">
        <v>0.2</v>
      </c>
      <c r="E27">
        <v>0.9</v>
      </c>
      <c r="F27">
        <v>1</v>
      </c>
      <c r="G27">
        <v>1</v>
      </c>
      <c r="H27">
        <v>0.7</v>
      </c>
      <c r="I27">
        <v>2.2999999999999998</v>
      </c>
      <c r="J27">
        <v>1.6</v>
      </c>
      <c r="K27">
        <v>2.1</v>
      </c>
      <c r="L27">
        <v>-7.6</v>
      </c>
      <c r="M27">
        <v>6.8</v>
      </c>
      <c r="N27">
        <v>2.8</v>
      </c>
      <c r="O27">
        <v>1.6</v>
      </c>
      <c r="P27">
        <v>1.1000000000000001</v>
      </c>
      <c r="Q27">
        <v>0.7</v>
      </c>
      <c r="R27">
        <v>0.9</v>
      </c>
      <c r="S27">
        <v>1.2</v>
      </c>
      <c r="T27">
        <v>1.3</v>
      </c>
      <c r="U27">
        <v>1.2</v>
      </c>
      <c r="V27">
        <v>1.2</v>
      </c>
    </row>
    <row r="28" spans="1:22" x14ac:dyDescent="0.3">
      <c r="A28" t="s">
        <v>67</v>
      </c>
      <c r="B28">
        <v>4.0999999999999996</v>
      </c>
      <c r="C28">
        <v>3.8</v>
      </c>
      <c r="D28">
        <v>0.5</v>
      </c>
      <c r="E28">
        <v>0.4</v>
      </c>
      <c r="F28">
        <v>2.2000000000000002</v>
      </c>
      <c r="G28">
        <v>1.7</v>
      </c>
      <c r="H28">
        <v>2.2000000000000002</v>
      </c>
      <c r="I28">
        <v>2.8</v>
      </c>
      <c r="J28">
        <v>1.1000000000000001</v>
      </c>
      <c r="K28">
        <v>1</v>
      </c>
      <c r="L28">
        <v>-4.0999999999999996</v>
      </c>
      <c r="M28">
        <v>3.9</v>
      </c>
      <c r="N28">
        <v>1.8</v>
      </c>
      <c r="O28">
        <v>-0.9</v>
      </c>
      <c r="P28">
        <v>-0.5</v>
      </c>
      <c r="Q28">
        <v>0.2</v>
      </c>
      <c r="R28">
        <v>0.9</v>
      </c>
      <c r="S28">
        <v>1.5</v>
      </c>
      <c r="T28">
        <v>1.2</v>
      </c>
      <c r="U28">
        <v>1</v>
      </c>
      <c r="V28">
        <v>0.7</v>
      </c>
    </row>
    <row r="29" spans="1:22" x14ac:dyDescent="0.3">
      <c r="A29" t="s">
        <v>68</v>
      </c>
      <c r="B29">
        <v>-5.7</v>
      </c>
      <c r="C29">
        <v>-9.9</v>
      </c>
      <c r="D29">
        <v>-8.3000000000000007</v>
      </c>
      <c r="E29">
        <v>-2.2999999999999998</v>
      </c>
      <c r="F29">
        <v>0.8</v>
      </c>
      <c r="G29">
        <v>-0.2</v>
      </c>
      <c r="H29">
        <v>0</v>
      </c>
      <c r="I29">
        <v>1.5</v>
      </c>
      <c r="J29">
        <v>2.1</v>
      </c>
      <c r="K29">
        <v>2.2999999999999998</v>
      </c>
      <c r="L29">
        <v>-9.1999999999999993</v>
      </c>
      <c r="M29">
        <v>8.6999999999999993</v>
      </c>
      <c r="N29">
        <v>5.7</v>
      </c>
      <c r="O29">
        <v>2.2999999999999998</v>
      </c>
      <c r="P29">
        <v>2.2999999999999998</v>
      </c>
      <c r="Q29">
        <v>2</v>
      </c>
      <c r="R29">
        <v>2</v>
      </c>
      <c r="S29">
        <v>1.5</v>
      </c>
      <c r="T29">
        <v>1.6</v>
      </c>
      <c r="U29">
        <v>1.6</v>
      </c>
      <c r="V29">
        <v>1.6</v>
      </c>
    </row>
    <row r="30" spans="1:22" x14ac:dyDescent="0.3">
      <c r="A30" t="s">
        <v>69</v>
      </c>
      <c r="B30">
        <v>1.7</v>
      </c>
      <c r="C30">
        <v>1.6</v>
      </c>
      <c r="D30">
        <v>-0.4</v>
      </c>
      <c r="E30">
        <v>2.2000000000000002</v>
      </c>
      <c r="F30">
        <v>9.4</v>
      </c>
      <c r="G30">
        <v>24.6</v>
      </c>
      <c r="H30">
        <v>1.2</v>
      </c>
      <c r="I30">
        <v>10.1</v>
      </c>
      <c r="J30">
        <v>7.7</v>
      </c>
      <c r="K30">
        <v>5</v>
      </c>
      <c r="L30">
        <v>7.2</v>
      </c>
      <c r="M30">
        <v>16.3</v>
      </c>
      <c r="N30">
        <v>7.5</v>
      </c>
      <c r="O30">
        <v>-2.5</v>
      </c>
      <c r="P30">
        <v>2.6</v>
      </c>
      <c r="Q30">
        <v>9.1</v>
      </c>
      <c r="R30">
        <v>1.3</v>
      </c>
      <c r="S30">
        <v>2.5</v>
      </c>
      <c r="T30">
        <v>2.4</v>
      </c>
      <c r="U30">
        <v>2.2999999999999998</v>
      </c>
      <c r="V30">
        <v>2.2999999999999998</v>
      </c>
    </row>
    <row r="31" spans="1:22" x14ac:dyDescent="0.3">
      <c r="A31" t="s">
        <v>70</v>
      </c>
      <c r="B31">
        <v>1.5</v>
      </c>
      <c r="C31">
        <v>0.7</v>
      </c>
      <c r="D31">
        <v>-3.1</v>
      </c>
      <c r="E31">
        <v>-1.8</v>
      </c>
      <c r="F31">
        <v>0</v>
      </c>
      <c r="G31">
        <v>0.9</v>
      </c>
      <c r="H31">
        <v>1.2</v>
      </c>
      <c r="I31">
        <v>1.6</v>
      </c>
      <c r="J31">
        <v>0.8</v>
      </c>
      <c r="K31">
        <v>0.4</v>
      </c>
      <c r="L31">
        <v>-8.9</v>
      </c>
      <c r="M31">
        <v>8.9</v>
      </c>
      <c r="N31">
        <v>4.8</v>
      </c>
      <c r="O31">
        <v>0.7</v>
      </c>
      <c r="P31">
        <v>0.7</v>
      </c>
      <c r="Q31">
        <v>0.5</v>
      </c>
      <c r="R31">
        <v>0.8</v>
      </c>
      <c r="S31">
        <v>0.6</v>
      </c>
      <c r="T31">
        <v>0.7</v>
      </c>
      <c r="U31">
        <v>0.7</v>
      </c>
      <c r="V31">
        <v>0.7</v>
      </c>
    </row>
    <row r="32" spans="1:22" x14ac:dyDescent="0.3">
      <c r="A32" t="s">
        <v>71</v>
      </c>
      <c r="B32">
        <v>3.8</v>
      </c>
      <c r="C32">
        <v>1</v>
      </c>
      <c r="D32">
        <v>1.6</v>
      </c>
      <c r="E32">
        <v>3.2</v>
      </c>
      <c r="F32">
        <v>2.6</v>
      </c>
      <c r="G32">
        <v>2.2999999999999998</v>
      </c>
      <c r="H32">
        <v>5</v>
      </c>
      <c r="I32">
        <v>1.3</v>
      </c>
      <c r="J32">
        <v>1.6</v>
      </c>
      <c r="K32">
        <v>2.7</v>
      </c>
      <c r="L32">
        <v>-0.5</v>
      </c>
      <c r="M32">
        <v>6.9</v>
      </c>
      <c r="N32">
        <v>-1.1000000000000001</v>
      </c>
      <c r="O32">
        <v>0.1</v>
      </c>
      <c r="P32">
        <v>0.4</v>
      </c>
      <c r="Q32">
        <v>1.2</v>
      </c>
      <c r="R32">
        <v>2.1</v>
      </c>
      <c r="S32">
        <v>2.2999999999999998</v>
      </c>
      <c r="T32">
        <v>2.2000000000000002</v>
      </c>
      <c r="U32">
        <v>2.1</v>
      </c>
      <c r="V32">
        <v>2.1</v>
      </c>
    </row>
    <row r="33" spans="1:22" x14ac:dyDescent="0.3">
      <c r="A33" t="s">
        <v>72</v>
      </c>
      <c r="B33">
        <v>6.2</v>
      </c>
      <c r="C33">
        <v>1</v>
      </c>
      <c r="D33">
        <v>4.0999999999999996</v>
      </c>
      <c r="E33">
        <v>6.3</v>
      </c>
      <c r="F33">
        <v>7.6</v>
      </c>
      <c r="G33">
        <v>9.6</v>
      </c>
      <c r="H33">
        <v>4.0999999999999996</v>
      </c>
      <c r="I33">
        <v>13</v>
      </c>
      <c r="J33">
        <v>7.2</v>
      </c>
      <c r="K33">
        <v>4.0999999999999996</v>
      </c>
      <c r="L33">
        <v>-3.5</v>
      </c>
      <c r="M33">
        <v>13.4</v>
      </c>
      <c r="N33">
        <v>2.5</v>
      </c>
      <c r="O33">
        <v>10.6</v>
      </c>
      <c r="P33">
        <v>6.8</v>
      </c>
      <c r="Q33">
        <v>3.9</v>
      </c>
      <c r="R33">
        <v>3.9</v>
      </c>
      <c r="S33">
        <v>4</v>
      </c>
      <c r="T33">
        <v>4</v>
      </c>
      <c r="U33">
        <v>4</v>
      </c>
      <c r="V33">
        <v>4</v>
      </c>
    </row>
    <row r="34" spans="1:22" x14ac:dyDescent="0.3">
      <c r="A34" t="s">
        <v>73</v>
      </c>
      <c r="B34">
        <v>1.3</v>
      </c>
      <c r="C34">
        <v>1.8</v>
      </c>
      <c r="D34">
        <v>-1</v>
      </c>
      <c r="E34">
        <v>0</v>
      </c>
      <c r="F34">
        <v>1.6</v>
      </c>
      <c r="G34">
        <v>2.1</v>
      </c>
      <c r="H34">
        <v>2.4</v>
      </c>
      <c r="I34">
        <v>2.8</v>
      </c>
      <c r="J34">
        <v>2.2999999999999998</v>
      </c>
      <c r="K34">
        <v>2.2999999999999998</v>
      </c>
      <c r="L34">
        <v>-3.9</v>
      </c>
      <c r="M34">
        <v>6.3</v>
      </c>
      <c r="N34">
        <v>5</v>
      </c>
      <c r="O34">
        <v>-0.6</v>
      </c>
      <c r="P34">
        <v>1.1000000000000001</v>
      </c>
      <c r="Q34">
        <v>1.4</v>
      </c>
      <c r="R34">
        <v>1.2</v>
      </c>
      <c r="S34">
        <v>1.4</v>
      </c>
      <c r="T34">
        <v>1.4</v>
      </c>
      <c r="U34">
        <v>1.3</v>
      </c>
      <c r="V34">
        <v>1.2</v>
      </c>
    </row>
    <row r="35" spans="1:22" x14ac:dyDescent="0.3">
      <c r="A35" t="s">
        <v>74</v>
      </c>
      <c r="B35">
        <v>0.8</v>
      </c>
      <c r="C35">
        <v>1.1000000000000001</v>
      </c>
      <c r="D35">
        <v>2.7</v>
      </c>
      <c r="E35">
        <v>1</v>
      </c>
      <c r="F35">
        <v>2</v>
      </c>
      <c r="G35">
        <v>1.9</v>
      </c>
      <c r="H35">
        <v>1.2</v>
      </c>
      <c r="I35">
        <v>2.5</v>
      </c>
      <c r="J35">
        <v>0.8</v>
      </c>
      <c r="K35">
        <v>1.1000000000000001</v>
      </c>
      <c r="L35">
        <v>-1.3</v>
      </c>
      <c r="M35">
        <v>3.9</v>
      </c>
      <c r="N35">
        <v>3.2</v>
      </c>
      <c r="O35">
        <v>0.1</v>
      </c>
      <c r="P35">
        <v>2.1</v>
      </c>
      <c r="Q35">
        <v>1.2</v>
      </c>
      <c r="R35">
        <v>1.6</v>
      </c>
      <c r="S35">
        <v>1.6</v>
      </c>
      <c r="T35">
        <v>1.3</v>
      </c>
      <c r="U35">
        <v>1.3</v>
      </c>
      <c r="V35">
        <v>1.3</v>
      </c>
    </row>
    <row r="36" spans="1:22" x14ac:dyDescent="0.3">
      <c r="A36" t="s">
        <v>75</v>
      </c>
      <c r="B36">
        <v>1.7</v>
      </c>
      <c r="C36">
        <v>-1.7</v>
      </c>
      <c r="D36">
        <v>-4.0999999999999996</v>
      </c>
      <c r="E36">
        <v>-1</v>
      </c>
      <c r="F36">
        <v>0.7</v>
      </c>
      <c r="G36">
        <v>1.6</v>
      </c>
      <c r="H36">
        <v>2</v>
      </c>
      <c r="I36">
        <v>3.3</v>
      </c>
      <c r="J36">
        <v>2.9</v>
      </c>
      <c r="K36">
        <v>2.7</v>
      </c>
      <c r="L36">
        <v>-8.1999999999999993</v>
      </c>
      <c r="M36">
        <v>5.6</v>
      </c>
      <c r="N36">
        <v>7</v>
      </c>
      <c r="O36">
        <v>2.6</v>
      </c>
      <c r="P36">
        <v>1.9</v>
      </c>
      <c r="Q36">
        <v>1.9</v>
      </c>
      <c r="R36">
        <v>2.1</v>
      </c>
      <c r="S36">
        <v>1.5</v>
      </c>
      <c r="T36">
        <v>1.6</v>
      </c>
      <c r="U36">
        <v>1.6</v>
      </c>
      <c r="V36">
        <v>1.7</v>
      </c>
    </row>
    <row r="37" spans="1:22" x14ac:dyDescent="0.3">
      <c r="A37" t="s">
        <v>76</v>
      </c>
      <c r="B37">
        <v>0.1</v>
      </c>
      <c r="C37">
        <v>-0.6</v>
      </c>
      <c r="D37">
        <v>-2.9</v>
      </c>
      <c r="E37">
        <v>-1.4</v>
      </c>
      <c r="F37">
        <v>1.5</v>
      </c>
      <c r="G37">
        <v>4.0999999999999996</v>
      </c>
      <c r="H37">
        <v>2.9</v>
      </c>
      <c r="I37">
        <v>2.9</v>
      </c>
      <c r="J37">
        <v>2.4</v>
      </c>
      <c r="K37">
        <v>2</v>
      </c>
      <c r="L37">
        <v>-10.9</v>
      </c>
      <c r="M37">
        <v>6.7</v>
      </c>
      <c r="N37">
        <v>6.4</v>
      </c>
      <c r="O37">
        <v>2.5</v>
      </c>
      <c r="P37">
        <v>3.5</v>
      </c>
      <c r="Q37">
        <v>2.9</v>
      </c>
      <c r="R37">
        <v>2</v>
      </c>
      <c r="S37">
        <v>1.7</v>
      </c>
      <c r="T37">
        <v>1.6</v>
      </c>
      <c r="U37">
        <v>1.6</v>
      </c>
      <c r="V37">
        <v>1.6</v>
      </c>
    </row>
    <row r="38" spans="1:22" x14ac:dyDescent="0.3">
      <c r="A38" t="s">
        <v>77</v>
      </c>
      <c r="B38">
        <v>5.8</v>
      </c>
      <c r="C38">
        <v>3.2</v>
      </c>
      <c r="D38">
        <v>-0.4</v>
      </c>
      <c r="E38">
        <v>1.1000000000000001</v>
      </c>
      <c r="F38">
        <v>2.2999999999999998</v>
      </c>
      <c r="G38">
        <v>4.4000000000000004</v>
      </c>
      <c r="H38">
        <v>2.1</v>
      </c>
      <c r="I38">
        <v>1.9</v>
      </c>
      <c r="J38">
        <v>1.8</v>
      </c>
      <c r="K38">
        <v>2.6</v>
      </c>
      <c r="L38">
        <v>-1.9</v>
      </c>
      <c r="M38">
        <v>5.2</v>
      </c>
      <c r="N38">
        <v>1.3</v>
      </c>
      <c r="O38">
        <v>-0.2</v>
      </c>
      <c r="P38">
        <v>0.8</v>
      </c>
      <c r="Q38">
        <v>0.7</v>
      </c>
      <c r="R38">
        <v>1.9</v>
      </c>
      <c r="S38">
        <v>1.8</v>
      </c>
      <c r="T38">
        <v>1.7</v>
      </c>
      <c r="U38">
        <v>1.7</v>
      </c>
      <c r="V38">
        <v>1.7</v>
      </c>
    </row>
    <row r="39" spans="1:22" x14ac:dyDescent="0.3">
      <c r="A39" t="s">
        <v>78</v>
      </c>
      <c r="B39">
        <v>3.2</v>
      </c>
      <c r="C39">
        <v>1.9</v>
      </c>
      <c r="D39">
        <v>1.2</v>
      </c>
      <c r="E39">
        <v>1.9</v>
      </c>
      <c r="F39">
        <v>2.2999999999999998</v>
      </c>
      <c r="G39">
        <v>1.6</v>
      </c>
      <c r="H39">
        <v>2.1</v>
      </c>
      <c r="I39">
        <v>1.4</v>
      </c>
      <c r="J39">
        <v>2.9</v>
      </c>
      <c r="K39">
        <v>1.2</v>
      </c>
      <c r="L39">
        <v>-2.2999999999999998</v>
      </c>
      <c r="M39">
        <v>5.6</v>
      </c>
      <c r="N39">
        <v>3.1</v>
      </c>
      <c r="O39">
        <v>0.7</v>
      </c>
      <c r="P39">
        <v>1.4</v>
      </c>
      <c r="Q39">
        <v>0.9</v>
      </c>
      <c r="R39">
        <v>1.3</v>
      </c>
      <c r="S39">
        <v>1.1000000000000001</v>
      </c>
      <c r="T39">
        <v>1.8</v>
      </c>
      <c r="U39">
        <v>1.2</v>
      </c>
      <c r="V39">
        <v>1.8</v>
      </c>
    </row>
    <row r="40" spans="1:22" x14ac:dyDescent="0.3">
      <c r="A40" t="s">
        <v>79</v>
      </c>
      <c r="B40">
        <v>2.2000000000000002</v>
      </c>
      <c r="C40">
        <v>1.1000000000000001</v>
      </c>
      <c r="D40">
        <v>1.5</v>
      </c>
      <c r="E40">
        <v>1.8</v>
      </c>
      <c r="F40">
        <v>3.2</v>
      </c>
      <c r="G40">
        <v>2.2000000000000002</v>
      </c>
      <c r="H40">
        <v>1.9</v>
      </c>
      <c r="I40">
        <v>2.7</v>
      </c>
      <c r="J40">
        <v>1.4</v>
      </c>
      <c r="K40">
        <v>1.6</v>
      </c>
      <c r="L40">
        <v>-10.3</v>
      </c>
      <c r="M40">
        <v>8.6</v>
      </c>
      <c r="N40">
        <v>4.8</v>
      </c>
      <c r="O40">
        <v>0.4</v>
      </c>
      <c r="P40">
        <v>1.1000000000000001</v>
      </c>
      <c r="Q40">
        <v>1.3</v>
      </c>
      <c r="R40">
        <v>1.3</v>
      </c>
      <c r="S40">
        <v>1.5</v>
      </c>
      <c r="T40">
        <v>1.4</v>
      </c>
      <c r="U40">
        <v>1.4</v>
      </c>
      <c r="V40">
        <v>1.4</v>
      </c>
    </row>
    <row r="41" spans="1:22" x14ac:dyDescent="0.3">
      <c r="K41" s="22"/>
      <c r="L41" s="22"/>
    </row>
    <row r="42" spans="1:22" x14ac:dyDescent="0.3">
      <c r="A42" t="s">
        <v>60</v>
      </c>
      <c r="B42" s="11">
        <v>2010</v>
      </c>
      <c r="C42" s="11">
        <v>2011</v>
      </c>
      <c r="D42" s="11">
        <v>2012</v>
      </c>
      <c r="E42" s="11">
        <v>2013</v>
      </c>
      <c r="F42" s="11">
        <v>2014</v>
      </c>
      <c r="G42" s="11">
        <v>2015</v>
      </c>
      <c r="H42" s="11">
        <v>2016</v>
      </c>
      <c r="I42" s="11">
        <v>2017</v>
      </c>
      <c r="J42" s="11">
        <v>2018</v>
      </c>
      <c r="K42" s="11">
        <v>2019</v>
      </c>
      <c r="L42" s="11">
        <v>2020</v>
      </c>
      <c r="M42" s="11">
        <v>2021</v>
      </c>
      <c r="N42" s="11">
        <v>2022</v>
      </c>
      <c r="O42" s="11">
        <v>2023</v>
      </c>
      <c r="P42" s="11">
        <v>2024</v>
      </c>
      <c r="Q42" s="11">
        <v>2025</v>
      </c>
      <c r="R42" s="11">
        <v>2026</v>
      </c>
      <c r="S42" s="11">
        <v>2027</v>
      </c>
      <c r="T42" s="11">
        <v>2028</v>
      </c>
      <c r="U42" s="11">
        <v>2029</v>
      </c>
      <c r="V42" s="11">
        <v>2030</v>
      </c>
    </row>
    <row r="44" spans="1:22" x14ac:dyDescent="0.3">
      <c r="A44" t="s">
        <v>62</v>
      </c>
      <c r="B44">
        <v>100</v>
      </c>
      <c r="C44" s="14">
        <f>B44*(1+(C23/100))</f>
        <v>102.89999999999999</v>
      </c>
      <c r="D44" s="14">
        <f t="shared" ref="D44:V44" si="1">C44*(1+(D23/100))</f>
        <v>103.51739999999999</v>
      </c>
      <c r="E44" s="14">
        <f t="shared" si="1"/>
        <v>103.20684779999999</v>
      </c>
      <c r="F44" s="14">
        <f t="shared" si="1"/>
        <v>104.03250258239999</v>
      </c>
      <c r="G44" s="14">
        <f t="shared" si="1"/>
        <v>105.38492511597117</v>
      </c>
      <c r="H44" s="14">
        <f t="shared" si="1"/>
        <v>107.59800854340655</v>
      </c>
      <c r="I44" s="14">
        <f t="shared" si="1"/>
        <v>110.07276273990489</v>
      </c>
      <c r="J44" s="14">
        <f t="shared" si="1"/>
        <v>112.8245818084025</v>
      </c>
      <c r="K44" s="14">
        <f t="shared" si="1"/>
        <v>114.85542428095374</v>
      </c>
      <c r="L44" s="14">
        <f t="shared" si="1"/>
        <v>107.61953255125366</v>
      </c>
      <c r="M44" s="14">
        <f t="shared" si="1"/>
        <v>112.78527011371384</v>
      </c>
      <c r="N44" s="14">
        <f t="shared" si="1"/>
        <v>118.76288942974067</v>
      </c>
      <c r="O44" s="14">
        <f t="shared" si="1"/>
        <v>117.57526053544326</v>
      </c>
      <c r="P44" s="14">
        <f t="shared" si="1"/>
        <v>116.39950793008883</v>
      </c>
      <c r="Q44" s="14">
        <f t="shared" si="1"/>
        <v>116.74870645387908</v>
      </c>
      <c r="R44" s="14">
        <f t="shared" si="1"/>
        <v>117.68269610551012</v>
      </c>
      <c r="S44" s="14">
        <f t="shared" si="1"/>
        <v>119.56561924319828</v>
      </c>
      <c r="T44" s="14">
        <f t="shared" si="1"/>
        <v>121.11997229335985</v>
      </c>
      <c r="U44" s="14">
        <f t="shared" si="1"/>
        <v>122.33117201629345</v>
      </c>
      <c r="V44" s="14">
        <f t="shared" si="1"/>
        <v>123.1874902204075</v>
      </c>
    </row>
    <row r="45" spans="1:22" x14ac:dyDescent="0.3">
      <c r="A45" t="s">
        <v>63</v>
      </c>
      <c r="B45">
        <v>100</v>
      </c>
      <c r="C45" s="14">
        <f t="shared" ref="C45:V45" si="2">B45*(1+(C24/100))</f>
        <v>101.89999999999999</v>
      </c>
      <c r="D45" s="14">
        <f t="shared" si="2"/>
        <v>102.10379999999999</v>
      </c>
      <c r="E45" s="14">
        <f t="shared" si="2"/>
        <v>102.41011139999998</v>
      </c>
      <c r="F45" s="14">
        <f t="shared" si="2"/>
        <v>104.25349340519998</v>
      </c>
      <c r="G45" s="14">
        <f t="shared" si="2"/>
        <v>105.81729580627797</v>
      </c>
      <c r="H45" s="14">
        <f t="shared" si="2"/>
        <v>107.0871033559533</v>
      </c>
      <c r="I45" s="14">
        <f t="shared" si="2"/>
        <v>108.69340990629259</v>
      </c>
      <c r="J45" s="14">
        <f t="shared" si="2"/>
        <v>110.75858469451214</v>
      </c>
      <c r="K45" s="14">
        <f t="shared" si="2"/>
        <v>113.41679072718043</v>
      </c>
      <c r="L45" s="14">
        <f t="shared" si="2"/>
        <v>107.97278477227576</v>
      </c>
      <c r="M45" s="14">
        <f t="shared" si="2"/>
        <v>114.66709742815686</v>
      </c>
      <c r="N45" s="14">
        <f t="shared" si="2"/>
        <v>119.5977826175676</v>
      </c>
      <c r="O45" s="14">
        <f t="shared" si="2"/>
        <v>121.03295600897842</v>
      </c>
      <c r="P45" s="14">
        <f t="shared" si="2"/>
        <v>122.24328556906821</v>
      </c>
      <c r="Q45" s="14">
        <f t="shared" si="2"/>
        <v>123.58796171032795</v>
      </c>
      <c r="R45" s="14">
        <f t="shared" si="2"/>
        <v>124.82384132743123</v>
      </c>
      <c r="S45" s="14">
        <f t="shared" si="2"/>
        <v>126.44655126468781</v>
      </c>
      <c r="T45" s="14">
        <f t="shared" si="2"/>
        <v>127.96390987986406</v>
      </c>
      <c r="U45" s="14">
        <f t="shared" si="2"/>
        <v>129.62744070830229</v>
      </c>
      <c r="V45" s="14">
        <f t="shared" si="2"/>
        <v>131.31259743751019</v>
      </c>
    </row>
    <row r="46" spans="1:22" x14ac:dyDescent="0.3">
      <c r="A46" t="s">
        <v>64</v>
      </c>
      <c r="B46">
        <v>100</v>
      </c>
      <c r="C46" s="14">
        <f t="shared" ref="C46:V46" si="3">B46*(1+(C25/100))</f>
        <v>101.29999999999998</v>
      </c>
      <c r="D46" s="14">
        <f t="shared" si="3"/>
        <v>101.29999999999998</v>
      </c>
      <c r="E46" s="14">
        <f t="shared" si="3"/>
        <v>102.71819999999998</v>
      </c>
      <c r="F46" s="14">
        <f t="shared" si="3"/>
        <v>104.05353659999997</v>
      </c>
      <c r="G46" s="14">
        <f t="shared" si="3"/>
        <v>106.23866086859996</v>
      </c>
      <c r="H46" s="14">
        <f t="shared" si="3"/>
        <v>109.53205935552656</v>
      </c>
      <c r="I46" s="14">
        <f t="shared" si="3"/>
        <v>112.92755319554787</v>
      </c>
      <c r="J46" s="14">
        <f t="shared" si="3"/>
        <v>115.07317670626327</v>
      </c>
      <c r="K46" s="14">
        <f t="shared" si="3"/>
        <v>117.02942071026973</v>
      </c>
      <c r="L46" s="14">
        <f t="shared" si="3"/>
        <v>114.92289113748488</v>
      </c>
      <c r="M46" s="14">
        <f t="shared" si="3"/>
        <v>122.3928790614214</v>
      </c>
      <c r="N46" s="14">
        <f t="shared" si="3"/>
        <v>122.88245057766709</v>
      </c>
      <c r="O46" s="14">
        <f t="shared" si="3"/>
        <v>123.61974528113309</v>
      </c>
      <c r="P46" s="14">
        <f t="shared" si="3"/>
        <v>127.94643636597274</v>
      </c>
      <c r="Q46" s="14">
        <f t="shared" si="3"/>
        <v>130.24947222056025</v>
      </c>
      <c r="R46" s="14">
        <f t="shared" si="3"/>
        <v>133.11496060941258</v>
      </c>
      <c r="S46" s="14">
        <f t="shared" si="3"/>
        <v>135.24479997916319</v>
      </c>
      <c r="T46" s="14">
        <f t="shared" si="3"/>
        <v>137.27347197885064</v>
      </c>
      <c r="U46" s="14">
        <f t="shared" si="3"/>
        <v>139.3325740585334</v>
      </c>
      <c r="V46" s="14">
        <f t="shared" si="3"/>
        <v>141.42256266941138</v>
      </c>
    </row>
    <row r="47" spans="1:22" x14ac:dyDescent="0.3">
      <c r="A47" t="s">
        <v>65</v>
      </c>
      <c r="B47">
        <v>100</v>
      </c>
      <c r="C47" s="14">
        <f t="shared" ref="C47:V47" si="4">B47*(1+(C26/100))</f>
        <v>102.4</v>
      </c>
      <c r="D47" s="14">
        <f t="shared" si="4"/>
        <v>100.864</v>
      </c>
      <c r="E47" s="14">
        <f t="shared" si="4"/>
        <v>99.855360000000005</v>
      </c>
      <c r="F47" s="14">
        <f t="shared" si="4"/>
        <v>99.3560832</v>
      </c>
      <c r="G47" s="14">
        <f t="shared" si="4"/>
        <v>99.852863615999993</v>
      </c>
      <c r="H47" s="14">
        <f t="shared" si="4"/>
        <v>102.449038070016</v>
      </c>
      <c r="I47" s="14">
        <f t="shared" si="4"/>
        <v>105.82985632632652</v>
      </c>
      <c r="J47" s="14">
        <f t="shared" si="4"/>
        <v>107.09981460224245</v>
      </c>
      <c r="K47" s="14">
        <f t="shared" si="4"/>
        <v>108.49211219207159</v>
      </c>
      <c r="L47" s="14">
        <f t="shared" si="4"/>
        <v>105.77980938726979</v>
      </c>
      <c r="M47" s="14">
        <f t="shared" si="4"/>
        <v>108.63586424072606</v>
      </c>
      <c r="N47" s="14">
        <f t="shared" si="4"/>
        <v>109.50495115465188</v>
      </c>
      <c r="O47" s="14">
        <f t="shared" si="4"/>
        <v>108.51940659426</v>
      </c>
      <c r="P47" s="14">
        <f t="shared" si="4"/>
        <v>108.95348422063705</v>
      </c>
      <c r="Q47" s="14">
        <f t="shared" si="4"/>
        <v>109.49825164174023</v>
      </c>
      <c r="R47" s="14">
        <f t="shared" si="4"/>
        <v>110.92172891308283</v>
      </c>
      <c r="S47" s="14">
        <f t="shared" si="4"/>
        <v>112.36371138895289</v>
      </c>
      <c r="T47" s="14">
        <f t="shared" si="4"/>
        <v>113.82443963700926</v>
      </c>
      <c r="U47" s="14">
        <f t="shared" si="4"/>
        <v>115.19033291265337</v>
      </c>
      <c r="V47" s="14">
        <f t="shared" si="4"/>
        <v>116.57261690760522</v>
      </c>
    </row>
    <row r="48" spans="1:22" x14ac:dyDescent="0.3">
      <c r="A48" t="s">
        <v>66</v>
      </c>
      <c r="B48">
        <v>100</v>
      </c>
      <c r="C48" s="14">
        <f t="shared" ref="C48:V48" si="5">B48*(1+(C27/100))</f>
        <v>102.49999999999999</v>
      </c>
      <c r="D48" s="14">
        <f t="shared" si="5"/>
        <v>102.70499999999998</v>
      </c>
      <c r="E48" s="14">
        <f t="shared" si="5"/>
        <v>103.62934499999997</v>
      </c>
      <c r="F48" s="14">
        <f t="shared" si="5"/>
        <v>104.66563844999997</v>
      </c>
      <c r="G48" s="14">
        <f t="shared" si="5"/>
        <v>105.71229483449997</v>
      </c>
      <c r="H48" s="14">
        <f t="shared" si="5"/>
        <v>106.45228089834146</v>
      </c>
      <c r="I48" s="14">
        <f t="shared" si="5"/>
        <v>108.9006833590033</v>
      </c>
      <c r="J48" s="14">
        <f t="shared" si="5"/>
        <v>110.64309429274735</v>
      </c>
      <c r="K48" s="14">
        <f t="shared" si="5"/>
        <v>112.96659927289504</v>
      </c>
      <c r="L48" s="14">
        <f t="shared" si="5"/>
        <v>104.38113772815503</v>
      </c>
      <c r="M48" s="14">
        <f t="shared" si="5"/>
        <v>111.47905509366957</v>
      </c>
      <c r="N48" s="14">
        <f t="shared" si="5"/>
        <v>114.60046863629232</v>
      </c>
      <c r="O48" s="14">
        <f t="shared" si="5"/>
        <v>116.434076134473</v>
      </c>
      <c r="P48" s="14">
        <f t="shared" si="5"/>
        <v>117.71485097195219</v>
      </c>
      <c r="Q48" s="14">
        <f t="shared" si="5"/>
        <v>118.53885492875584</v>
      </c>
      <c r="R48" s="14">
        <f t="shared" si="5"/>
        <v>119.60570462311463</v>
      </c>
      <c r="S48" s="14">
        <f t="shared" si="5"/>
        <v>121.040973078592</v>
      </c>
      <c r="T48" s="14">
        <f t="shared" si="5"/>
        <v>122.61450572861369</v>
      </c>
      <c r="U48" s="14">
        <f t="shared" si="5"/>
        <v>124.08587979735705</v>
      </c>
      <c r="V48" s="14">
        <f t="shared" si="5"/>
        <v>125.57491035492534</v>
      </c>
    </row>
    <row r="49" spans="1:23" x14ac:dyDescent="0.3">
      <c r="A49" t="s">
        <v>67</v>
      </c>
      <c r="B49">
        <v>100</v>
      </c>
      <c r="C49" s="14">
        <f t="shared" ref="C49:V49" si="6">B49*(1+(C28/100))</f>
        <v>103.8</v>
      </c>
      <c r="D49" s="14">
        <f t="shared" si="6"/>
        <v>104.31899999999999</v>
      </c>
      <c r="E49" s="14">
        <f t="shared" si="6"/>
        <v>104.73627599999999</v>
      </c>
      <c r="F49" s="14">
        <f t="shared" si="6"/>
        <v>107.04047407199999</v>
      </c>
      <c r="G49" s="14">
        <f t="shared" si="6"/>
        <v>108.86016213122399</v>
      </c>
      <c r="H49" s="14">
        <f t="shared" si="6"/>
        <v>111.25508569811092</v>
      </c>
      <c r="I49" s="14">
        <f t="shared" si="6"/>
        <v>114.37022809765803</v>
      </c>
      <c r="J49" s="14">
        <f t="shared" si="6"/>
        <v>115.62830060673225</v>
      </c>
      <c r="K49" s="14">
        <f t="shared" si="6"/>
        <v>116.78458361279958</v>
      </c>
      <c r="L49" s="14">
        <f t="shared" si="6"/>
        <v>111.99641568467479</v>
      </c>
      <c r="M49" s="14">
        <f t="shared" si="6"/>
        <v>116.36427589637709</v>
      </c>
      <c r="N49" s="14">
        <f t="shared" si="6"/>
        <v>118.45883286251188</v>
      </c>
      <c r="O49" s="14">
        <f t="shared" si="6"/>
        <v>117.39270336674927</v>
      </c>
      <c r="P49" s="14">
        <f t="shared" si="6"/>
        <v>116.80573984991553</v>
      </c>
      <c r="Q49" s="14">
        <f t="shared" si="6"/>
        <v>117.03935132961536</v>
      </c>
      <c r="R49" s="14">
        <f t="shared" si="6"/>
        <v>118.09270549158188</v>
      </c>
      <c r="S49" s="14">
        <f t="shared" si="6"/>
        <v>119.86409607395559</v>
      </c>
      <c r="T49" s="14">
        <f t="shared" si="6"/>
        <v>121.30246522684307</v>
      </c>
      <c r="U49" s="14">
        <f t="shared" si="6"/>
        <v>122.5154898791115</v>
      </c>
      <c r="V49" s="14">
        <f t="shared" si="6"/>
        <v>123.37309830826527</v>
      </c>
    </row>
    <row r="50" spans="1:23" x14ac:dyDescent="0.3">
      <c r="A50" t="s">
        <v>68</v>
      </c>
      <c r="B50">
        <v>100</v>
      </c>
      <c r="C50" s="14">
        <f t="shared" ref="C50:V50" si="7">B50*(1+(C29/100))</f>
        <v>90.100000000000009</v>
      </c>
      <c r="D50" s="14">
        <f t="shared" si="7"/>
        <v>82.621700000000004</v>
      </c>
      <c r="E50" s="14">
        <f t="shared" si="7"/>
        <v>80.721400900000006</v>
      </c>
      <c r="F50" s="14">
        <f t="shared" si="7"/>
        <v>81.367172107200005</v>
      </c>
      <c r="G50" s="14">
        <f t="shared" si="7"/>
        <v>81.204437762985606</v>
      </c>
      <c r="H50" s="14">
        <f t="shared" si="7"/>
        <v>81.204437762985606</v>
      </c>
      <c r="I50" s="14">
        <f t="shared" si="7"/>
        <v>82.422504329430382</v>
      </c>
      <c r="J50" s="14">
        <f t="shared" si="7"/>
        <v>84.153376920348407</v>
      </c>
      <c r="K50" s="14">
        <f t="shared" si="7"/>
        <v>86.088904589516417</v>
      </c>
      <c r="L50" s="14">
        <f t="shared" si="7"/>
        <v>78.168725367280913</v>
      </c>
      <c r="M50" s="14">
        <f t="shared" si="7"/>
        <v>84.969404474234352</v>
      </c>
      <c r="N50" s="14">
        <f t="shared" si="7"/>
        <v>89.812660529265699</v>
      </c>
      <c r="O50" s="14">
        <f t="shared" si="7"/>
        <v>91.878351721438804</v>
      </c>
      <c r="P50" s="14">
        <f t="shared" si="7"/>
        <v>93.991553811031892</v>
      </c>
      <c r="Q50" s="14">
        <f t="shared" si="7"/>
        <v>95.871384887252532</v>
      </c>
      <c r="R50" s="14">
        <f t="shared" si="7"/>
        <v>97.788812584997586</v>
      </c>
      <c r="S50" s="14">
        <f t="shared" si="7"/>
        <v>99.255644773772545</v>
      </c>
      <c r="T50" s="14">
        <f t="shared" si="7"/>
        <v>100.8437350901529</v>
      </c>
      <c r="U50" s="14">
        <f t="shared" si="7"/>
        <v>102.45723485159536</v>
      </c>
      <c r="V50" s="14">
        <f t="shared" si="7"/>
        <v>104.09655060922088</v>
      </c>
    </row>
    <row r="51" spans="1:23" x14ac:dyDescent="0.3">
      <c r="A51" t="s">
        <v>69</v>
      </c>
      <c r="B51">
        <v>100</v>
      </c>
      <c r="C51" s="14">
        <f t="shared" ref="C51:V51" si="8">B51*(1+(C30/100))</f>
        <v>101.6</v>
      </c>
      <c r="D51" s="14">
        <f t="shared" si="8"/>
        <v>101.19359999999999</v>
      </c>
      <c r="E51" s="14">
        <f t="shared" si="8"/>
        <v>103.41985919999999</v>
      </c>
      <c r="F51" s="14">
        <f t="shared" si="8"/>
        <v>113.1413259648</v>
      </c>
      <c r="G51" s="14">
        <f t="shared" si="8"/>
        <v>140.9740921521408</v>
      </c>
      <c r="H51" s="14">
        <f t="shared" si="8"/>
        <v>142.6657812579665</v>
      </c>
      <c r="I51" s="14">
        <f t="shared" si="8"/>
        <v>157.07502516502112</v>
      </c>
      <c r="J51" s="14">
        <f t="shared" si="8"/>
        <v>169.16980210272774</v>
      </c>
      <c r="K51" s="14">
        <f t="shared" si="8"/>
        <v>177.62829220786415</v>
      </c>
      <c r="L51" s="14">
        <f t="shared" si="8"/>
        <v>190.41752924683038</v>
      </c>
      <c r="M51" s="14">
        <f t="shared" si="8"/>
        <v>221.45558651406375</v>
      </c>
      <c r="N51" s="14">
        <f t="shared" si="8"/>
        <v>238.06475550261854</v>
      </c>
      <c r="O51" s="14">
        <f t="shared" si="8"/>
        <v>232.11313661505307</v>
      </c>
      <c r="P51" s="14">
        <f t="shared" si="8"/>
        <v>238.14807816704445</v>
      </c>
      <c r="Q51" s="14">
        <f t="shared" si="8"/>
        <v>259.81955328024549</v>
      </c>
      <c r="R51" s="14">
        <f t="shared" si="8"/>
        <v>263.19720747288864</v>
      </c>
      <c r="S51" s="14">
        <f t="shared" si="8"/>
        <v>269.77713765971083</v>
      </c>
      <c r="T51" s="14">
        <f t="shared" si="8"/>
        <v>276.2517889635439</v>
      </c>
      <c r="U51" s="14">
        <f t="shared" si="8"/>
        <v>282.60558010970539</v>
      </c>
      <c r="V51" s="14">
        <f t="shared" si="8"/>
        <v>289.10550845222861</v>
      </c>
    </row>
    <row r="52" spans="1:23" x14ac:dyDescent="0.3">
      <c r="A52" t="s">
        <v>70</v>
      </c>
      <c r="B52">
        <v>100</v>
      </c>
      <c r="C52" s="14">
        <f t="shared" ref="C52:V52" si="9">B52*(1+(C31/100))</f>
        <v>100.69999999999999</v>
      </c>
      <c r="D52" s="14">
        <f t="shared" si="9"/>
        <v>97.578299999999984</v>
      </c>
      <c r="E52" s="14">
        <f t="shared" si="9"/>
        <v>95.821890599999989</v>
      </c>
      <c r="F52" s="14">
        <f t="shared" si="9"/>
        <v>95.821890599999989</v>
      </c>
      <c r="G52" s="14">
        <f t="shared" si="9"/>
        <v>96.684287615399981</v>
      </c>
      <c r="H52" s="14">
        <f t="shared" si="9"/>
        <v>97.844499066784778</v>
      </c>
      <c r="I52" s="14">
        <f t="shared" si="9"/>
        <v>99.410011051853331</v>
      </c>
      <c r="J52" s="14">
        <f t="shared" si="9"/>
        <v>100.20529114026816</v>
      </c>
      <c r="K52" s="14">
        <f t="shared" si="9"/>
        <v>100.60611230482924</v>
      </c>
      <c r="L52" s="14">
        <f t="shared" si="9"/>
        <v>91.652168309699434</v>
      </c>
      <c r="M52" s="14">
        <f t="shared" si="9"/>
        <v>99.809211289262677</v>
      </c>
      <c r="N52" s="14">
        <f t="shared" si="9"/>
        <v>104.60005343114729</v>
      </c>
      <c r="O52" s="14">
        <f t="shared" si="9"/>
        <v>105.33225380516531</v>
      </c>
      <c r="P52" s="14">
        <f t="shared" si="9"/>
        <v>106.06957958180145</v>
      </c>
      <c r="Q52" s="14">
        <f t="shared" si="9"/>
        <v>106.59992747971044</v>
      </c>
      <c r="R52" s="14">
        <f t="shared" si="9"/>
        <v>107.45272689954813</v>
      </c>
      <c r="S52" s="14">
        <f t="shared" si="9"/>
        <v>108.09744326094541</v>
      </c>
      <c r="T52" s="14">
        <f t="shared" si="9"/>
        <v>108.85412536377201</v>
      </c>
      <c r="U52" s="14">
        <f t="shared" si="9"/>
        <v>109.61610424131841</v>
      </c>
      <c r="V52" s="14">
        <f t="shared" si="9"/>
        <v>110.38341697100763</v>
      </c>
    </row>
    <row r="53" spans="1:23" x14ac:dyDescent="0.3">
      <c r="A53" t="s">
        <v>71</v>
      </c>
      <c r="B53">
        <v>100</v>
      </c>
      <c r="C53" s="14">
        <f t="shared" ref="C53:V53" si="10">B53*(1+(C32/100))</f>
        <v>101</v>
      </c>
      <c r="D53" s="14">
        <f t="shared" si="10"/>
        <v>102.616</v>
      </c>
      <c r="E53" s="14">
        <f t="shared" si="10"/>
        <v>105.89971200000001</v>
      </c>
      <c r="F53" s="14">
        <f t="shared" si="10"/>
        <v>108.65310451200001</v>
      </c>
      <c r="G53" s="14">
        <f t="shared" si="10"/>
        <v>111.152125915776</v>
      </c>
      <c r="H53" s="14">
        <f t="shared" si="10"/>
        <v>116.7097322115648</v>
      </c>
      <c r="I53" s="14">
        <f t="shared" si="10"/>
        <v>118.22695873031513</v>
      </c>
      <c r="J53" s="14">
        <f t="shared" si="10"/>
        <v>120.11859007000018</v>
      </c>
      <c r="K53" s="14">
        <f t="shared" si="10"/>
        <v>123.36179200189018</v>
      </c>
      <c r="L53" s="14">
        <f t="shared" si="10"/>
        <v>122.74498304188073</v>
      </c>
      <c r="M53" s="14">
        <f t="shared" si="10"/>
        <v>131.2143868717705</v>
      </c>
      <c r="N53" s="14">
        <f t="shared" si="10"/>
        <v>129.77102861618101</v>
      </c>
      <c r="O53" s="14">
        <f t="shared" si="10"/>
        <v>129.90079964479719</v>
      </c>
      <c r="P53" s="14">
        <f t="shared" si="10"/>
        <v>130.42040284337637</v>
      </c>
      <c r="Q53" s="14">
        <f t="shared" si="10"/>
        <v>131.98544767749689</v>
      </c>
      <c r="R53" s="14">
        <f t="shared" si="10"/>
        <v>134.75714207872431</v>
      </c>
      <c r="S53" s="14">
        <f t="shared" si="10"/>
        <v>137.85655634653497</v>
      </c>
      <c r="T53" s="14">
        <f t="shared" si="10"/>
        <v>140.88940058615876</v>
      </c>
      <c r="U53" s="14">
        <f t="shared" si="10"/>
        <v>143.84807799846809</v>
      </c>
      <c r="V53" s="14">
        <f t="shared" si="10"/>
        <v>146.86888763643591</v>
      </c>
    </row>
    <row r="54" spans="1:23" x14ac:dyDescent="0.3">
      <c r="A54" t="s">
        <v>72</v>
      </c>
      <c r="B54">
        <v>100</v>
      </c>
      <c r="C54" s="14">
        <f t="shared" ref="C54:V54" si="11">B54*(1+(C33/100))</f>
        <v>101</v>
      </c>
      <c r="D54" s="14">
        <f t="shared" si="11"/>
        <v>105.14099999999999</v>
      </c>
      <c r="E54" s="14">
        <f t="shared" si="11"/>
        <v>111.76488299999998</v>
      </c>
      <c r="F54" s="14">
        <f t="shared" si="11"/>
        <v>120.25901410799999</v>
      </c>
      <c r="G54" s="14">
        <f t="shared" si="11"/>
        <v>131.803879462368</v>
      </c>
      <c r="H54" s="14">
        <f t="shared" si="11"/>
        <v>137.20783852032508</v>
      </c>
      <c r="I54" s="14">
        <f t="shared" si="11"/>
        <v>155.04485752796734</v>
      </c>
      <c r="J54" s="14">
        <f t="shared" si="11"/>
        <v>166.20808726998101</v>
      </c>
      <c r="K54" s="14">
        <f t="shared" si="11"/>
        <v>173.02261884805023</v>
      </c>
      <c r="L54" s="14">
        <f t="shared" si="11"/>
        <v>166.96682718836846</v>
      </c>
      <c r="M54" s="14">
        <f t="shared" si="11"/>
        <v>189.34038203160981</v>
      </c>
      <c r="N54" s="14">
        <f t="shared" si="11"/>
        <v>194.07389158240002</v>
      </c>
      <c r="O54" s="14">
        <f t="shared" si="11"/>
        <v>214.64572409013445</v>
      </c>
      <c r="P54" s="14">
        <f t="shared" si="11"/>
        <v>229.24163332826362</v>
      </c>
      <c r="Q54" s="14">
        <f t="shared" si="11"/>
        <v>238.18205702806588</v>
      </c>
      <c r="R54" s="14">
        <f t="shared" si="11"/>
        <v>247.47115725216042</v>
      </c>
      <c r="S54" s="14">
        <f t="shared" si="11"/>
        <v>257.37000354224688</v>
      </c>
      <c r="T54" s="14">
        <f t="shared" si="11"/>
        <v>267.66480368393678</v>
      </c>
      <c r="U54" s="14">
        <f t="shared" si="11"/>
        <v>278.37139583129425</v>
      </c>
      <c r="V54" s="14">
        <f t="shared" si="11"/>
        <v>289.50625166454603</v>
      </c>
    </row>
    <row r="55" spans="1:23" x14ac:dyDescent="0.3">
      <c r="A55" t="s">
        <v>73</v>
      </c>
      <c r="B55">
        <v>100</v>
      </c>
      <c r="C55" s="14">
        <f t="shared" ref="C55:V55" si="12">B55*(1+(C34/100))</f>
        <v>101.8</v>
      </c>
      <c r="D55" s="14">
        <f t="shared" si="12"/>
        <v>100.782</v>
      </c>
      <c r="E55" s="14">
        <f t="shared" si="12"/>
        <v>100.782</v>
      </c>
      <c r="F55" s="14">
        <f t="shared" si="12"/>
        <v>102.39451199999999</v>
      </c>
      <c r="G55" s="14">
        <f t="shared" si="12"/>
        <v>104.54479675199998</v>
      </c>
      <c r="H55" s="14">
        <f t="shared" si="12"/>
        <v>107.05387187404799</v>
      </c>
      <c r="I55" s="14">
        <f t="shared" si="12"/>
        <v>110.05138028652134</v>
      </c>
      <c r="J55" s="14">
        <f t="shared" si="12"/>
        <v>112.58256203311132</v>
      </c>
      <c r="K55" s="14">
        <f t="shared" si="12"/>
        <v>115.17196095987286</v>
      </c>
      <c r="L55" s="14">
        <f t="shared" si="12"/>
        <v>110.68025448243782</v>
      </c>
      <c r="M55" s="14">
        <f t="shared" si="12"/>
        <v>117.6531105148314</v>
      </c>
      <c r="N55" s="14">
        <f t="shared" si="12"/>
        <v>123.53576604057297</v>
      </c>
      <c r="O55" s="14">
        <f t="shared" si="12"/>
        <v>122.79455144432953</v>
      </c>
      <c r="P55" s="14">
        <f t="shared" si="12"/>
        <v>124.14529151021713</v>
      </c>
      <c r="Q55" s="14">
        <f t="shared" si="12"/>
        <v>125.88332559136018</v>
      </c>
      <c r="R55" s="14">
        <f t="shared" si="12"/>
        <v>127.3939254984565</v>
      </c>
      <c r="S55" s="14">
        <f t="shared" si="12"/>
        <v>129.17744045543489</v>
      </c>
      <c r="T55" s="14">
        <f t="shared" si="12"/>
        <v>130.98592462181099</v>
      </c>
      <c r="U55" s="14">
        <f t="shared" si="12"/>
        <v>132.68874164189452</v>
      </c>
      <c r="V55" s="14">
        <f t="shared" si="12"/>
        <v>134.28100654159726</v>
      </c>
    </row>
    <row r="56" spans="1:23" x14ac:dyDescent="0.3">
      <c r="A56" t="s">
        <v>74</v>
      </c>
      <c r="B56">
        <v>100</v>
      </c>
      <c r="C56" s="14">
        <f t="shared" ref="C56:V56" si="13">B56*(1+(C35/100))</f>
        <v>101.1</v>
      </c>
      <c r="D56" s="14">
        <f t="shared" si="13"/>
        <v>103.82969999999999</v>
      </c>
      <c r="E56" s="14">
        <f t="shared" si="13"/>
        <v>104.86799699999999</v>
      </c>
      <c r="F56" s="14">
        <f t="shared" si="13"/>
        <v>106.96535693999999</v>
      </c>
      <c r="G56" s="14">
        <f t="shared" si="13"/>
        <v>108.99769872185998</v>
      </c>
      <c r="H56" s="14">
        <f t="shared" si="13"/>
        <v>110.3056711065223</v>
      </c>
      <c r="I56" s="14">
        <f t="shared" si="13"/>
        <v>113.06331288418535</v>
      </c>
      <c r="J56" s="14">
        <f t="shared" si="13"/>
        <v>113.96781938725883</v>
      </c>
      <c r="K56" s="14">
        <f t="shared" si="13"/>
        <v>115.22146540051867</v>
      </c>
      <c r="L56" s="14">
        <f t="shared" si="13"/>
        <v>113.72358635031192</v>
      </c>
      <c r="M56" s="14">
        <f t="shared" si="13"/>
        <v>118.15880621797407</v>
      </c>
      <c r="N56" s="14">
        <f t="shared" si="13"/>
        <v>121.93988801694925</v>
      </c>
      <c r="O56" s="14">
        <f t="shared" si="13"/>
        <v>122.06182790496619</v>
      </c>
      <c r="P56" s="14">
        <f t="shared" si="13"/>
        <v>124.62512629097047</v>
      </c>
      <c r="Q56" s="14">
        <f t="shared" si="13"/>
        <v>126.12062780646212</v>
      </c>
      <c r="R56" s="14">
        <f t="shared" si="13"/>
        <v>128.13855785136553</v>
      </c>
      <c r="S56" s="14">
        <f t="shared" si="13"/>
        <v>130.18877477698737</v>
      </c>
      <c r="T56" s="14">
        <f t="shared" si="13"/>
        <v>131.88122884908819</v>
      </c>
      <c r="U56" s="14">
        <f t="shared" si="13"/>
        <v>133.59568482412632</v>
      </c>
      <c r="V56" s="14">
        <f t="shared" si="13"/>
        <v>135.33242872683996</v>
      </c>
    </row>
    <row r="57" spans="1:23" x14ac:dyDescent="0.3">
      <c r="A57" t="s">
        <v>75</v>
      </c>
      <c r="B57">
        <v>100</v>
      </c>
      <c r="C57" s="14">
        <f t="shared" ref="C57:V57" si="14">B57*(1+(C36/100))</f>
        <v>98.3</v>
      </c>
      <c r="D57" s="14">
        <f t="shared" si="14"/>
        <v>94.2697</v>
      </c>
      <c r="E57" s="14">
        <f t="shared" si="14"/>
        <v>93.327003000000005</v>
      </c>
      <c r="F57" s="14">
        <f t="shared" si="14"/>
        <v>93.980292020999997</v>
      </c>
      <c r="G57" s="14">
        <f t="shared" si="14"/>
        <v>95.483976693336004</v>
      </c>
      <c r="H57" s="14">
        <f t="shared" si="14"/>
        <v>97.393656227202726</v>
      </c>
      <c r="I57" s="14">
        <f t="shared" si="14"/>
        <v>100.60764688270041</v>
      </c>
      <c r="J57" s="14">
        <f t="shared" si="14"/>
        <v>103.52526864229871</v>
      </c>
      <c r="K57" s="14">
        <f t="shared" si="14"/>
        <v>106.32045089564078</v>
      </c>
      <c r="L57" s="14">
        <f t="shared" si="14"/>
        <v>97.602173922198233</v>
      </c>
      <c r="M57" s="14">
        <f t="shared" si="14"/>
        <v>103.06789566184133</v>
      </c>
      <c r="N57" s="14">
        <f t="shared" si="14"/>
        <v>110.28264835817023</v>
      </c>
      <c r="O57" s="14">
        <f t="shared" si="14"/>
        <v>113.14999721548266</v>
      </c>
      <c r="P57" s="14">
        <f t="shared" si="14"/>
        <v>115.29984716257681</v>
      </c>
      <c r="Q57" s="14">
        <f t="shared" si="14"/>
        <v>117.49054425866576</v>
      </c>
      <c r="R57" s="14">
        <f t="shared" si="14"/>
        <v>119.95784568809773</v>
      </c>
      <c r="S57" s="14">
        <f t="shared" si="14"/>
        <v>121.75721337341919</v>
      </c>
      <c r="T57" s="14">
        <f t="shared" si="14"/>
        <v>123.7053287873939</v>
      </c>
      <c r="U57" s="14">
        <f t="shared" si="14"/>
        <v>125.6846140479922</v>
      </c>
      <c r="V57" s="14">
        <f t="shared" si="14"/>
        <v>127.82125248680805</v>
      </c>
    </row>
    <row r="58" spans="1:23" x14ac:dyDescent="0.3">
      <c r="A58" t="s">
        <v>76</v>
      </c>
      <c r="B58">
        <v>100</v>
      </c>
      <c r="C58" s="14">
        <f t="shared" ref="C58:V58" si="15">B58*(1+(C37/100))</f>
        <v>99.4</v>
      </c>
      <c r="D58" s="14">
        <f t="shared" si="15"/>
        <v>96.517400000000009</v>
      </c>
      <c r="E58" s="14">
        <f t="shared" si="15"/>
        <v>95.166156400000006</v>
      </c>
      <c r="F58" s="14">
        <f t="shared" si="15"/>
        <v>96.593648746</v>
      </c>
      <c r="G58" s="14">
        <f t="shared" si="15"/>
        <v>100.55398834458599</v>
      </c>
      <c r="H58" s="14">
        <f t="shared" si="15"/>
        <v>103.47005400657898</v>
      </c>
      <c r="I58" s="14">
        <f t="shared" si="15"/>
        <v>106.47068557276975</v>
      </c>
      <c r="J58" s="14">
        <f t="shared" si="15"/>
        <v>109.02598202651623</v>
      </c>
      <c r="K58" s="14">
        <f t="shared" si="15"/>
        <v>111.20650166704655</v>
      </c>
      <c r="L58" s="14">
        <f t="shared" si="15"/>
        <v>99.084992985338474</v>
      </c>
      <c r="M58" s="14">
        <f t="shared" si="15"/>
        <v>105.72368751535615</v>
      </c>
      <c r="N58" s="14">
        <f t="shared" si="15"/>
        <v>112.49000351633894</v>
      </c>
      <c r="O58" s="14">
        <f t="shared" si="15"/>
        <v>115.30225360424741</v>
      </c>
      <c r="P58" s="14">
        <f t="shared" si="15"/>
        <v>119.33783248039606</v>
      </c>
      <c r="Q58" s="14">
        <f t="shared" si="15"/>
        <v>122.79862962232754</v>
      </c>
      <c r="R58" s="14">
        <f t="shared" si="15"/>
        <v>125.2546022147741</v>
      </c>
      <c r="S58" s="14">
        <f t="shared" si="15"/>
        <v>127.38393045242525</v>
      </c>
      <c r="T58" s="14">
        <f t="shared" si="15"/>
        <v>129.42207333966405</v>
      </c>
      <c r="U58" s="14">
        <f t="shared" si="15"/>
        <v>131.49282651309869</v>
      </c>
      <c r="V58" s="14">
        <f t="shared" si="15"/>
        <v>133.59671173730828</v>
      </c>
    </row>
    <row r="59" spans="1:23" x14ac:dyDescent="0.3">
      <c r="A59" t="s">
        <v>77</v>
      </c>
      <c r="B59">
        <v>100</v>
      </c>
      <c r="C59" s="14">
        <f t="shared" ref="C59:V59" si="16">B59*(1+(C38/100))</f>
        <v>103.2</v>
      </c>
      <c r="D59" s="14">
        <f t="shared" si="16"/>
        <v>102.7872</v>
      </c>
      <c r="E59" s="14">
        <f t="shared" si="16"/>
        <v>103.9178592</v>
      </c>
      <c r="F59" s="14">
        <f t="shared" si="16"/>
        <v>106.30796996159998</v>
      </c>
      <c r="G59" s="14">
        <f t="shared" si="16"/>
        <v>110.98552063991038</v>
      </c>
      <c r="H59" s="14">
        <f t="shared" si="16"/>
        <v>113.31621657334848</v>
      </c>
      <c r="I59" s="14">
        <f t="shared" si="16"/>
        <v>115.46922468824209</v>
      </c>
      <c r="J59" s="14">
        <f t="shared" si="16"/>
        <v>117.54767073263045</v>
      </c>
      <c r="K59" s="14">
        <f t="shared" si="16"/>
        <v>120.60391017167885</v>
      </c>
      <c r="L59" s="14">
        <f t="shared" si="16"/>
        <v>118.31243587841695</v>
      </c>
      <c r="M59" s="14">
        <f t="shared" si="16"/>
        <v>124.46468254409463</v>
      </c>
      <c r="N59" s="14">
        <f t="shared" si="16"/>
        <v>126.08272341716784</v>
      </c>
      <c r="O59" s="14">
        <f t="shared" si="16"/>
        <v>125.8305579703335</v>
      </c>
      <c r="P59" s="14">
        <f t="shared" si="16"/>
        <v>126.83720243409617</v>
      </c>
      <c r="Q59" s="14">
        <f t="shared" si="16"/>
        <v>127.72506285113484</v>
      </c>
      <c r="R59" s="14">
        <f t="shared" si="16"/>
        <v>130.15183904530639</v>
      </c>
      <c r="S59" s="14">
        <f t="shared" si="16"/>
        <v>132.4945721481219</v>
      </c>
      <c r="T59" s="14">
        <f t="shared" si="16"/>
        <v>134.74697987463998</v>
      </c>
      <c r="U59" s="14">
        <f t="shared" si="16"/>
        <v>137.03767853250883</v>
      </c>
      <c r="V59" s="14">
        <f t="shared" si="16"/>
        <v>139.36731906756148</v>
      </c>
    </row>
    <row r="60" spans="1:23" x14ac:dyDescent="0.3">
      <c r="A60" t="s">
        <v>78</v>
      </c>
      <c r="B60">
        <v>100</v>
      </c>
      <c r="C60" s="14">
        <f t="shared" ref="C60:V60" si="17">B60*(1+(C39/100))</f>
        <v>101.89999999999999</v>
      </c>
      <c r="D60" s="14">
        <f t="shared" si="17"/>
        <v>103.1228</v>
      </c>
      <c r="E60" s="14">
        <f t="shared" si="17"/>
        <v>105.08213319999999</v>
      </c>
      <c r="F60" s="14">
        <f t="shared" si="17"/>
        <v>107.49902226359998</v>
      </c>
      <c r="G60" s="14">
        <f t="shared" si="17"/>
        <v>109.21900661981758</v>
      </c>
      <c r="H60" s="14">
        <f t="shared" si="17"/>
        <v>111.51260575883374</v>
      </c>
      <c r="I60" s="14">
        <f t="shared" si="17"/>
        <v>113.07378223945742</v>
      </c>
      <c r="J60" s="14">
        <f t="shared" si="17"/>
        <v>116.35292192440167</v>
      </c>
      <c r="K60" s="14">
        <f t="shared" si="17"/>
        <v>117.74915698749449</v>
      </c>
      <c r="L60" s="14">
        <f t="shared" si="17"/>
        <v>115.04092637678211</v>
      </c>
      <c r="M60" s="14">
        <f t="shared" si="17"/>
        <v>121.48321825388192</v>
      </c>
      <c r="N60" s="14">
        <f t="shared" si="17"/>
        <v>125.24919801975224</v>
      </c>
      <c r="O60" s="14">
        <f t="shared" si="17"/>
        <v>126.1259424058905</v>
      </c>
      <c r="P60" s="14">
        <f t="shared" si="17"/>
        <v>127.89170559957297</v>
      </c>
      <c r="Q60" s="14">
        <f t="shared" si="17"/>
        <v>129.04273094996913</v>
      </c>
      <c r="R60" s="14">
        <f t="shared" si="17"/>
        <v>130.7202864523187</v>
      </c>
      <c r="S60" s="14">
        <f t="shared" si="17"/>
        <v>132.15820960329418</v>
      </c>
      <c r="T60" s="14">
        <f t="shared" si="17"/>
        <v>134.53705737615348</v>
      </c>
      <c r="U60" s="14">
        <f t="shared" si="17"/>
        <v>136.15150206466734</v>
      </c>
      <c r="V60" s="14">
        <f t="shared" si="17"/>
        <v>138.60222910183134</v>
      </c>
    </row>
    <row r="61" spans="1:23" x14ac:dyDescent="0.3">
      <c r="A61" t="s">
        <v>79</v>
      </c>
      <c r="B61">
        <v>100</v>
      </c>
      <c r="C61" s="14">
        <f t="shared" ref="C61:V61" si="18">B61*(1+(C40/100))</f>
        <v>101.1</v>
      </c>
      <c r="D61" s="14">
        <f t="shared" si="18"/>
        <v>102.61649999999999</v>
      </c>
      <c r="E61" s="14">
        <f t="shared" si="18"/>
        <v>104.46359699999999</v>
      </c>
      <c r="F61" s="14">
        <f t="shared" si="18"/>
        <v>107.806432104</v>
      </c>
      <c r="G61" s="14">
        <f t="shared" si="18"/>
        <v>110.178173610288</v>
      </c>
      <c r="H61" s="14">
        <f t="shared" si="18"/>
        <v>112.27155890888346</v>
      </c>
      <c r="I61" s="14">
        <f t="shared" si="18"/>
        <v>115.30289099942331</v>
      </c>
      <c r="J61" s="14">
        <f t="shared" si="18"/>
        <v>116.91713147341524</v>
      </c>
      <c r="K61" s="14">
        <f t="shared" si="18"/>
        <v>118.78780557698988</v>
      </c>
      <c r="L61" s="14">
        <f t="shared" si="18"/>
        <v>106.55266160255992</v>
      </c>
      <c r="M61" s="14">
        <f t="shared" si="18"/>
        <v>115.71619050038008</v>
      </c>
      <c r="N61" s="14">
        <f t="shared" si="18"/>
        <v>121.27056764439833</v>
      </c>
      <c r="O61" s="14">
        <f t="shared" si="18"/>
        <v>121.75564991497592</v>
      </c>
      <c r="P61" s="14">
        <f t="shared" si="18"/>
        <v>123.09496206404064</v>
      </c>
      <c r="Q61" s="14">
        <f t="shared" si="18"/>
        <v>124.69519657087316</v>
      </c>
      <c r="R61" s="14">
        <f t="shared" si="18"/>
        <v>126.3162341262945</v>
      </c>
      <c r="S61" s="14">
        <f t="shared" si="18"/>
        <v>128.21097763818892</v>
      </c>
      <c r="T61" s="14">
        <f t="shared" si="18"/>
        <v>130.00593132512356</v>
      </c>
      <c r="U61" s="14">
        <f t="shared" si="18"/>
        <v>131.82601436367528</v>
      </c>
      <c r="V61" s="14">
        <f t="shared" si="18"/>
        <v>133.67157856476675</v>
      </c>
    </row>
    <row r="63" spans="1:23" x14ac:dyDescent="0.3">
      <c r="A63" s="11" t="s">
        <v>61</v>
      </c>
      <c r="B63" s="11">
        <v>2010</v>
      </c>
      <c r="C63" s="11">
        <v>2011</v>
      </c>
      <c r="D63" s="11">
        <v>2012</v>
      </c>
      <c r="E63" s="11">
        <v>2013</v>
      </c>
      <c r="F63" s="11">
        <v>2014</v>
      </c>
      <c r="G63" s="11">
        <v>2015</v>
      </c>
      <c r="H63" s="11">
        <v>2016</v>
      </c>
      <c r="I63" s="11">
        <v>2017</v>
      </c>
      <c r="J63" s="11">
        <v>2018</v>
      </c>
      <c r="K63" s="11">
        <v>2019</v>
      </c>
      <c r="L63" s="11">
        <v>2020</v>
      </c>
      <c r="M63" s="11">
        <v>2021</v>
      </c>
      <c r="N63" s="11">
        <v>2022</v>
      </c>
      <c r="O63" s="11">
        <v>2023</v>
      </c>
      <c r="P63" s="11">
        <v>2024</v>
      </c>
      <c r="Q63" s="11">
        <v>2025</v>
      </c>
      <c r="R63" s="11">
        <v>2026</v>
      </c>
      <c r="S63" s="11">
        <v>2027</v>
      </c>
      <c r="T63" s="11">
        <v>2028</v>
      </c>
      <c r="U63" s="11">
        <v>2029</v>
      </c>
      <c r="V63" s="11">
        <v>2030</v>
      </c>
      <c r="W63" t="s">
        <v>125</v>
      </c>
    </row>
    <row r="64" spans="1:23" x14ac:dyDescent="0.3">
      <c r="C64" s="21"/>
      <c r="D64" s="21"/>
      <c r="E64" s="21"/>
    </row>
    <row r="65" spans="1:23" x14ac:dyDescent="0.3">
      <c r="A65" t="s">
        <v>62</v>
      </c>
      <c r="B65" s="14">
        <f>$B2*B44/100</f>
        <v>390.14599999999996</v>
      </c>
      <c r="C65" s="14">
        <f t="shared" ref="C65:V65" si="19">$B2*C44/100</f>
        <v>401.46023399999996</v>
      </c>
      <c r="D65" s="14">
        <f t="shared" si="19"/>
        <v>403.86899540400003</v>
      </c>
      <c r="E65" s="14">
        <f t="shared" si="19"/>
        <v>402.65738841778796</v>
      </c>
      <c r="F65" s="14">
        <f t="shared" si="19"/>
        <v>405.8786475251303</v>
      </c>
      <c r="G65" s="14">
        <f t="shared" si="19"/>
        <v>411.15506994295691</v>
      </c>
      <c r="H65" s="14">
        <f t="shared" si="19"/>
        <v>419.78932641175896</v>
      </c>
      <c r="I65" s="14">
        <f t="shared" si="19"/>
        <v>429.44448091922931</v>
      </c>
      <c r="J65" s="14">
        <f t="shared" si="19"/>
        <v>440.18059294221007</v>
      </c>
      <c r="K65" s="14">
        <f t="shared" si="19"/>
        <v>448.10384361516981</v>
      </c>
      <c r="L65" s="14">
        <f t="shared" si="19"/>
        <v>419.87330146741414</v>
      </c>
      <c r="M65" s="14">
        <f t="shared" si="19"/>
        <v>440.02721993785002</v>
      </c>
      <c r="N65" s="14">
        <f t="shared" si="19"/>
        <v>463.348662594556</v>
      </c>
      <c r="O65" s="14">
        <f t="shared" si="19"/>
        <v>458.71517596861048</v>
      </c>
      <c r="P65" s="14">
        <f t="shared" si="19"/>
        <v>454.12802420892439</v>
      </c>
      <c r="Q65" s="14">
        <f t="shared" si="19"/>
        <v>455.49040828155108</v>
      </c>
      <c r="R65" s="14">
        <f t="shared" si="19"/>
        <v>459.13433154780353</v>
      </c>
      <c r="S65" s="14">
        <f t="shared" si="19"/>
        <v>466.48048085256835</v>
      </c>
      <c r="T65" s="14">
        <f t="shared" si="19"/>
        <v>472.54472710365172</v>
      </c>
      <c r="U65" s="14">
        <f t="shared" si="19"/>
        <v>477.27017437468828</v>
      </c>
      <c r="V65" s="14">
        <f t="shared" si="19"/>
        <v>480.61106559531106</v>
      </c>
      <c r="W65" s="23">
        <f>((Q65/B65)^(1/15))-1</f>
        <v>1.0377047344962698E-2</v>
      </c>
    </row>
    <row r="66" spans="1:23" x14ac:dyDescent="0.3">
      <c r="A66" t="s">
        <v>63</v>
      </c>
      <c r="B66" s="14">
        <f t="shared" ref="B66:V66" si="20">$B3*B45/100</f>
        <v>481.94900000000001</v>
      </c>
      <c r="C66" s="14">
        <f t="shared" si="20"/>
        <v>491.10603100000003</v>
      </c>
      <c r="D66" s="14">
        <f t="shared" si="20"/>
        <v>492.08824306199995</v>
      </c>
      <c r="E66" s="14">
        <f t="shared" si="20"/>
        <v>493.56450779118592</v>
      </c>
      <c r="F66" s="14">
        <f t="shared" si="20"/>
        <v>502.44866893142722</v>
      </c>
      <c r="G66" s="14">
        <f t="shared" si="20"/>
        <v>509.98539896539864</v>
      </c>
      <c r="H66" s="14">
        <f t="shared" si="20"/>
        <v>516.10522375298342</v>
      </c>
      <c r="I66" s="14">
        <f t="shared" si="20"/>
        <v>523.84680210927809</v>
      </c>
      <c r="J66" s="14">
        <f t="shared" si="20"/>
        <v>533.79989134935431</v>
      </c>
      <c r="K66" s="14">
        <f t="shared" si="20"/>
        <v>546.61108874173874</v>
      </c>
      <c r="L66" s="14">
        <f t="shared" si="20"/>
        <v>520.37375648213526</v>
      </c>
      <c r="M66" s="14">
        <f t="shared" si="20"/>
        <v>552.63692938402778</v>
      </c>
      <c r="N66" s="14">
        <f t="shared" si="20"/>
        <v>576.40031734754086</v>
      </c>
      <c r="O66" s="14">
        <f t="shared" si="20"/>
        <v>583.31712115571145</v>
      </c>
      <c r="P66" s="14">
        <f t="shared" si="20"/>
        <v>589.15029236726855</v>
      </c>
      <c r="Q66" s="14">
        <f t="shared" si="20"/>
        <v>595.6309455833084</v>
      </c>
      <c r="R66" s="14">
        <f t="shared" si="20"/>
        <v>601.5872550391415</v>
      </c>
      <c r="S66" s="14">
        <f t="shared" si="20"/>
        <v>609.40788935465025</v>
      </c>
      <c r="T66" s="14">
        <f t="shared" si="20"/>
        <v>616.72078402690602</v>
      </c>
      <c r="U66" s="14">
        <f t="shared" si="20"/>
        <v>624.73815421925576</v>
      </c>
      <c r="V66" s="14">
        <f t="shared" si="20"/>
        <v>632.85975022410605</v>
      </c>
      <c r="W66" s="23">
        <f t="shared" ref="W66:W82" si="21">((Q66/B66)^(1/15))-1</f>
        <v>1.4219005707627241E-2</v>
      </c>
    </row>
    <row r="67" spans="1:23" x14ac:dyDescent="0.3">
      <c r="A67" t="s">
        <v>64</v>
      </c>
      <c r="B67" s="14">
        <f t="shared" ref="B67:V67" si="22">$B4*B46/100</f>
        <v>322.346</v>
      </c>
      <c r="C67" s="14">
        <f t="shared" si="22"/>
        <v>326.53649799999994</v>
      </c>
      <c r="D67" s="14">
        <f t="shared" si="22"/>
        <v>326.53649799999994</v>
      </c>
      <c r="E67" s="14">
        <f t="shared" si="22"/>
        <v>331.10800897199994</v>
      </c>
      <c r="F67" s="14">
        <f t="shared" si="22"/>
        <v>335.41241308863596</v>
      </c>
      <c r="G67" s="14">
        <f t="shared" si="22"/>
        <v>342.45607376349727</v>
      </c>
      <c r="H67" s="14">
        <f t="shared" si="22"/>
        <v>353.0722120501656</v>
      </c>
      <c r="I67" s="14">
        <f t="shared" si="22"/>
        <v>364.01745062372072</v>
      </c>
      <c r="J67" s="14">
        <f t="shared" si="22"/>
        <v>370.93378218557137</v>
      </c>
      <c r="K67" s="14">
        <f t="shared" si="22"/>
        <v>377.23965648272605</v>
      </c>
      <c r="L67" s="14">
        <f t="shared" si="22"/>
        <v>370.44934266603707</v>
      </c>
      <c r="M67" s="14">
        <f t="shared" si="22"/>
        <v>394.52854993932937</v>
      </c>
      <c r="N67" s="14">
        <f t="shared" si="22"/>
        <v>396.10666413908672</v>
      </c>
      <c r="O67" s="14">
        <f t="shared" si="22"/>
        <v>398.48330412392124</v>
      </c>
      <c r="P67" s="14">
        <f t="shared" si="22"/>
        <v>412.43021976825855</v>
      </c>
      <c r="Q67" s="14">
        <f t="shared" si="22"/>
        <v>419.85396372408718</v>
      </c>
      <c r="R67" s="14">
        <f t="shared" si="22"/>
        <v>429.09075092601705</v>
      </c>
      <c r="S67" s="14">
        <f t="shared" si="22"/>
        <v>435.95620294083341</v>
      </c>
      <c r="T67" s="14">
        <f t="shared" si="22"/>
        <v>442.49554598494586</v>
      </c>
      <c r="U67" s="14">
        <f t="shared" si="22"/>
        <v>449.13297917472011</v>
      </c>
      <c r="V67" s="14">
        <f t="shared" si="22"/>
        <v>455.86997386234077</v>
      </c>
      <c r="W67" s="23">
        <f t="shared" si="21"/>
        <v>1.7774888808829381E-2</v>
      </c>
    </row>
    <row r="68" spans="1:23" x14ac:dyDescent="0.3">
      <c r="A68" t="s">
        <v>65</v>
      </c>
      <c r="B68" s="14">
        <f t="shared" ref="B68:V68" si="23">$B5*B47/100</f>
        <v>249.63299999999998</v>
      </c>
      <c r="C68" s="14">
        <f t="shared" si="23"/>
        <v>255.62419200000005</v>
      </c>
      <c r="D68" s="14">
        <f t="shared" si="23"/>
        <v>251.78982912000004</v>
      </c>
      <c r="E68" s="14">
        <f t="shared" si="23"/>
        <v>249.27193082880004</v>
      </c>
      <c r="F68" s="14">
        <f t="shared" si="23"/>
        <v>248.02557117465599</v>
      </c>
      <c r="G68" s="14">
        <f t="shared" si="23"/>
        <v>249.26569903052928</v>
      </c>
      <c r="H68" s="14">
        <f t="shared" si="23"/>
        <v>255.74660720532304</v>
      </c>
      <c r="I68" s="14">
        <f t="shared" si="23"/>
        <v>264.18624524309871</v>
      </c>
      <c r="J68" s="14">
        <f t="shared" si="23"/>
        <v>267.35648018601592</v>
      </c>
      <c r="K68" s="14">
        <f t="shared" si="23"/>
        <v>270.83211442843407</v>
      </c>
      <c r="L68" s="14">
        <f t="shared" si="23"/>
        <v>264.06131156772318</v>
      </c>
      <c r="M68" s="14">
        <f t="shared" si="23"/>
        <v>271.19096698005171</v>
      </c>
      <c r="N68" s="14">
        <f t="shared" si="23"/>
        <v>273.36049471589212</v>
      </c>
      <c r="O68" s="14">
        <f t="shared" si="23"/>
        <v>270.9002502634491</v>
      </c>
      <c r="P68" s="14">
        <f t="shared" si="23"/>
        <v>271.9838512645029</v>
      </c>
      <c r="Q68" s="14">
        <f t="shared" si="23"/>
        <v>273.34377052082539</v>
      </c>
      <c r="R68" s="14">
        <f t="shared" si="23"/>
        <v>276.89723953759608</v>
      </c>
      <c r="S68" s="14">
        <f t="shared" si="23"/>
        <v>280.49690365158477</v>
      </c>
      <c r="T68" s="14">
        <f t="shared" si="23"/>
        <v>284.14336339905532</v>
      </c>
      <c r="U68" s="14">
        <f t="shared" si="23"/>
        <v>287.55308375984401</v>
      </c>
      <c r="V68" s="14">
        <f t="shared" si="23"/>
        <v>291.00372076496217</v>
      </c>
      <c r="W68" s="23">
        <f t="shared" si="21"/>
        <v>6.0675599460000562E-3</v>
      </c>
    </row>
    <row r="69" spans="1:23" x14ac:dyDescent="0.3">
      <c r="A69" t="s">
        <v>66</v>
      </c>
      <c r="B69" s="14">
        <f t="shared" ref="B69:V69" si="24">$B6*B48/100</f>
        <v>2648.3910000000005</v>
      </c>
      <c r="C69" s="14">
        <f t="shared" si="24"/>
        <v>2714.6007749999994</v>
      </c>
      <c r="D69" s="14">
        <f t="shared" si="24"/>
        <v>2720.0299765499994</v>
      </c>
      <c r="E69" s="14">
        <f t="shared" si="24"/>
        <v>2744.5102463389489</v>
      </c>
      <c r="F69" s="14">
        <f t="shared" si="24"/>
        <v>2771.9553488023389</v>
      </c>
      <c r="G69" s="14">
        <f t="shared" si="24"/>
        <v>2799.6749022903618</v>
      </c>
      <c r="H69" s="14">
        <f t="shared" si="24"/>
        <v>2819.2726266063942</v>
      </c>
      <c r="I69" s="14">
        <f t="shared" si="24"/>
        <v>2884.1158970183405</v>
      </c>
      <c r="J69" s="14">
        <f t="shared" si="24"/>
        <v>2930.2617513706341</v>
      </c>
      <c r="K69" s="14">
        <f t="shared" si="24"/>
        <v>2991.7972481494176</v>
      </c>
      <c r="L69" s="14">
        <f t="shared" si="24"/>
        <v>2764.4206572900625</v>
      </c>
      <c r="M69" s="14">
        <f t="shared" si="24"/>
        <v>2952.4012619857867</v>
      </c>
      <c r="N69" s="14">
        <f t="shared" si="24"/>
        <v>3035.0684973213883</v>
      </c>
      <c r="O69" s="14">
        <f t="shared" si="24"/>
        <v>3083.629593278531</v>
      </c>
      <c r="P69" s="14">
        <f t="shared" si="24"/>
        <v>3117.5495188045943</v>
      </c>
      <c r="Q69" s="14">
        <f t="shared" si="24"/>
        <v>3139.3723654362261</v>
      </c>
      <c r="R69" s="14">
        <f t="shared" si="24"/>
        <v>3167.6267167251522</v>
      </c>
      <c r="S69" s="14">
        <f t="shared" si="24"/>
        <v>3205.6382373258534</v>
      </c>
      <c r="T69" s="14">
        <f t="shared" si="24"/>
        <v>3247.3115344110893</v>
      </c>
      <c r="U69" s="14">
        <f t="shared" si="24"/>
        <v>3286.2792728240224</v>
      </c>
      <c r="V69" s="14">
        <f t="shared" si="24"/>
        <v>3325.7146240979109</v>
      </c>
      <c r="W69" s="23">
        <f t="shared" si="21"/>
        <v>1.1402559895812736E-2</v>
      </c>
    </row>
    <row r="70" spans="1:23" x14ac:dyDescent="0.3">
      <c r="A70" t="s">
        <v>67</v>
      </c>
      <c r="B70" s="14">
        <f t="shared" ref="B70:V70" si="25">$B7*B49/100</f>
        <v>3469.9250000000002</v>
      </c>
      <c r="C70" s="14">
        <f t="shared" si="25"/>
        <v>3601.7821500000005</v>
      </c>
      <c r="D70" s="14">
        <f t="shared" si="25"/>
        <v>3619.7910607499998</v>
      </c>
      <c r="E70" s="14">
        <f t="shared" si="25"/>
        <v>3634.2702249929994</v>
      </c>
      <c r="F70" s="14">
        <f t="shared" si="25"/>
        <v>3714.2241699428459</v>
      </c>
      <c r="G70" s="14">
        <f t="shared" si="25"/>
        <v>3777.3659808318744</v>
      </c>
      <c r="H70" s="14">
        <f t="shared" si="25"/>
        <v>3860.4680324101755</v>
      </c>
      <c r="I70" s="14">
        <f t="shared" si="25"/>
        <v>3968.5611373176607</v>
      </c>
      <c r="J70" s="14">
        <f t="shared" si="25"/>
        <v>4012.2153098281542</v>
      </c>
      <c r="K70" s="14">
        <f t="shared" si="25"/>
        <v>4052.3374629264358</v>
      </c>
      <c r="L70" s="14">
        <f t="shared" si="25"/>
        <v>3886.1916269464518</v>
      </c>
      <c r="M70" s="14">
        <f t="shared" si="25"/>
        <v>4037.7531003973631</v>
      </c>
      <c r="N70" s="14">
        <f t="shared" si="25"/>
        <v>4110.4326562045162</v>
      </c>
      <c r="O70" s="14">
        <f t="shared" si="25"/>
        <v>4073.4387622986751</v>
      </c>
      <c r="P70" s="14">
        <f t="shared" si="25"/>
        <v>4053.0715684871816</v>
      </c>
      <c r="Q70" s="14">
        <f t="shared" si="25"/>
        <v>4061.1777116241556</v>
      </c>
      <c r="R70" s="14">
        <f t="shared" si="25"/>
        <v>4097.7283110287726</v>
      </c>
      <c r="S70" s="14">
        <f t="shared" si="25"/>
        <v>4159.1942356942045</v>
      </c>
      <c r="T70" s="14">
        <f t="shared" si="25"/>
        <v>4209.1045665225347</v>
      </c>
      <c r="U70" s="14">
        <f t="shared" si="25"/>
        <v>4251.1956121877602</v>
      </c>
      <c r="V70" s="14">
        <f t="shared" si="25"/>
        <v>4280.9539814730742</v>
      </c>
      <c r="W70" s="23">
        <f t="shared" si="21"/>
        <v>1.054454115988479E-2</v>
      </c>
    </row>
    <row r="71" spans="1:23" x14ac:dyDescent="0.3">
      <c r="A71" t="s">
        <v>68</v>
      </c>
      <c r="B71" s="14">
        <f t="shared" ref="B71:V71" si="26">$B8*B50/100</f>
        <v>296.66000000000003</v>
      </c>
      <c r="C71" s="14">
        <f t="shared" si="26"/>
        <v>267.29066000000006</v>
      </c>
      <c r="D71" s="14">
        <f t="shared" si="26"/>
        <v>245.10553522000001</v>
      </c>
      <c r="E71" s="14">
        <f t="shared" si="26"/>
        <v>239.46810790994004</v>
      </c>
      <c r="F71" s="14">
        <f t="shared" si="26"/>
        <v>241.38385277321956</v>
      </c>
      <c r="G71" s="14">
        <f t="shared" si="26"/>
        <v>240.90108506767311</v>
      </c>
      <c r="H71" s="14">
        <f t="shared" si="26"/>
        <v>240.90108506767311</v>
      </c>
      <c r="I71" s="14">
        <f t="shared" si="26"/>
        <v>244.51460134368818</v>
      </c>
      <c r="J71" s="14">
        <f t="shared" si="26"/>
        <v>249.64940797190559</v>
      </c>
      <c r="K71" s="14">
        <f t="shared" si="26"/>
        <v>255.39134435525943</v>
      </c>
      <c r="L71" s="14">
        <f t="shared" si="26"/>
        <v>231.89534067457555</v>
      </c>
      <c r="M71" s="14">
        <f t="shared" si="26"/>
        <v>252.07023531326365</v>
      </c>
      <c r="N71" s="14">
        <f t="shared" si="26"/>
        <v>266.43823872611961</v>
      </c>
      <c r="O71" s="14">
        <f t="shared" si="26"/>
        <v>272.56631821682038</v>
      </c>
      <c r="P71" s="14">
        <f t="shared" si="26"/>
        <v>278.83534353580723</v>
      </c>
      <c r="Q71" s="14">
        <f t="shared" si="26"/>
        <v>284.41205040652335</v>
      </c>
      <c r="R71" s="14">
        <f t="shared" si="26"/>
        <v>290.1002914146539</v>
      </c>
      <c r="S71" s="14">
        <f t="shared" si="26"/>
        <v>294.45179578587363</v>
      </c>
      <c r="T71" s="14">
        <f t="shared" si="26"/>
        <v>299.16302451844763</v>
      </c>
      <c r="U71" s="14">
        <f t="shared" si="26"/>
        <v>303.94963291074282</v>
      </c>
      <c r="V71" s="14">
        <f t="shared" si="26"/>
        <v>308.81282703731472</v>
      </c>
      <c r="W71" s="23">
        <f t="shared" si="21"/>
        <v>-2.8068955172346755E-3</v>
      </c>
    </row>
    <row r="72" spans="1:23" x14ac:dyDescent="0.3">
      <c r="A72" t="s">
        <v>69</v>
      </c>
      <c r="B72" s="14">
        <f t="shared" ref="B72:V72" si="27">$B9*B51/100</f>
        <v>221.91399999999999</v>
      </c>
      <c r="C72" s="14">
        <f t="shared" si="27"/>
        <v>225.46462399999996</v>
      </c>
      <c r="D72" s="14">
        <f t="shared" si="27"/>
        <v>224.56276550399997</v>
      </c>
      <c r="E72" s="14">
        <f t="shared" si="27"/>
        <v>229.50314634508794</v>
      </c>
      <c r="F72" s="14">
        <f t="shared" si="27"/>
        <v>251.07644210152625</v>
      </c>
      <c r="G72" s="14">
        <f t="shared" si="27"/>
        <v>312.84124685850173</v>
      </c>
      <c r="H72" s="14">
        <f t="shared" si="27"/>
        <v>316.59534182080375</v>
      </c>
      <c r="I72" s="14">
        <f t="shared" si="27"/>
        <v>348.57147134470489</v>
      </c>
      <c r="J72" s="14">
        <f t="shared" si="27"/>
        <v>375.41147463824723</v>
      </c>
      <c r="K72" s="14">
        <f t="shared" si="27"/>
        <v>394.18204837015963</v>
      </c>
      <c r="L72" s="14">
        <f t="shared" si="27"/>
        <v>422.56315585281118</v>
      </c>
      <c r="M72" s="14">
        <f t="shared" si="27"/>
        <v>491.44095025681941</v>
      </c>
      <c r="N72" s="14">
        <f t="shared" si="27"/>
        <v>528.29902152608088</v>
      </c>
      <c r="O72" s="14">
        <f t="shared" si="27"/>
        <v>515.09154598792884</v>
      </c>
      <c r="P72" s="14">
        <f t="shared" si="27"/>
        <v>528.48392618361493</v>
      </c>
      <c r="Q72" s="14">
        <f t="shared" si="27"/>
        <v>576.57596346632397</v>
      </c>
      <c r="R72" s="14">
        <f t="shared" si="27"/>
        <v>584.07145099138609</v>
      </c>
      <c r="S72" s="14">
        <f t="shared" si="27"/>
        <v>598.67323726617064</v>
      </c>
      <c r="T72" s="14">
        <f t="shared" si="27"/>
        <v>613.0413949605587</v>
      </c>
      <c r="U72" s="14">
        <f t="shared" si="27"/>
        <v>627.14134704465152</v>
      </c>
      <c r="V72" s="14">
        <f t="shared" si="27"/>
        <v>641.56559802667857</v>
      </c>
      <c r="W72" s="23">
        <f t="shared" si="21"/>
        <v>6.57241045994017E-2</v>
      </c>
    </row>
    <row r="73" spans="1:23" x14ac:dyDescent="0.3">
      <c r="A73" t="s">
        <v>70</v>
      </c>
      <c r="B73" s="14">
        <f t="shared" ref="B73:V73" si="28">$B10*B52/100</f>
        <v>2146.6869999999999</v>
      </c>
      <c r="C73" s="14">
        <f t="shared" si="28"/>
        <v>2161.7138089999994</v>
      </c>
      <c r="D73" s="14">
        <f t="shared" si="28"/>
        <v>2094.7006809209993</v>
      </c>
      <c r="E73" s="14">
        <f t="shared" si="28"/>
        <v>2056.9960686644217</v>
      </c>
      <c r="F73" s="14">
        <f t="shared" si="28"/>
        <v>2056.9960686644217</v>
      </c>
      <c r="G73" s="14">
        <f t="shared" si="28"/>
        <v>2075.5090332824011</v>
      </c>
      <c r="H73" s="14">
        <f t="shared" si="28"/>
        <v>2100.4151416817899</v>
      </c>
      <c r="I73" s="14">
        <f t="shared" si="28"/>
        <v>2134.0217839486986</v>
      </c>
      <c r="J73" s="14">
        <f t="shared" si="28"/>
        <v>2151.0939582202882</v>
      </c>
      <c r="K73" s="14">
        <f t="shared" si="28"/>
        <v>2159.6983340531697</v>
      </c>
      <c r="L73" s="14">
        <f t="shared" si="28"/>
        <v>1967.4851823224374</v>
      </c>
      <c r="M73" s="14">
        <f t="shared" si="28"/>
        <v>2142.5913635491343</v>
      </c>
      <c r="N73" s="14">
        <f t="shared" si="28"/>
        <v>2245.4357489994927</v>
      </c>
      <c r="O73" s="14">
        <f t="shared" si="28"/>
        <v>2261.1537992424892</v>
      </c>
      <c r="P73" s="14">
        <f t="shared" si="28"/>
        <v>2276.9818758371857</v>
      </c>
      <c r="Q73" s="14">
        <f t="shared" si="28"/>
        <v>2288.3667852163717</v>
      </c>
      <c r="R73" s="14">
        <f t="shared" si="28"/>
        <v>2306.6737194981024</v>
      </c>
      <c r="S73" s="14">
        <f t="shared" si="28"/>
        <v>2320.5137618150911</v>
      </c>
      <c r="T73" s="14">
        <f t="shared" si="28"/>
        <v>2336.7573581477964</v>
      </c>
      <c r="U73" s="14">
        <f t="shared" si="28"/>
        <v>2353.1146596548306</v>
      </c>
      <c r="V73" s="14">
        <f t="shared" si="28"/>
        <v>2369.5864622724148</v>
      </c>
      <c r="W73" s="23">
        <f t="shared" si="21"/>
        <v>4.2699333272202544E-3</v>
      </c>
    </row>
    <row r="74" spans="1:23" x14ac:dyDescent="0.3">
      <c r="A74" t="s">
        <v>71</v>
      </c>
      <c r="B74" s="14">
        <f t="shared" ref="B74:V74" si="29">$B11*B53/100</f>
        <v>56.26</v>
      </c>
      <c r="C74" s="14">
        <f t="shared" si="29"/>
        <v>56.822600000000001</v>
      </c>
      <c r="D74" s="14">
        <f t="shared" si="29"/>
        <v>57.731761599999999</v>
      </c>
      <c r="E74" s="14">
        <f t="shared" si="29"/>
        <v>59.579177971200004</v>
      </c>
      <c r="F74" s="14">
        <f t="shared" si="29"/>
        <v>61.128236598451203</v>
      </c>
      <c r="G74" s="14">
        <f t="shared" si="29"/>
        <v>62.534186040215573</v>
      </c>
      <c r="H74" s="14">
        <f t="shared" si="29"/>
        <v>65.660895342226354</v>
      </c>
      <c r="I74" s="14">
        <f t="shared" si="29"/>
        <v>66.51448698167529</v>
      </c>
      <c r="J74" s="14">
        <f t="shared" si="29"/>
        <v>67.578718773382093</v>
      </c>
      <c r="K74" s="14">
        <f t="shared" si="29"/>
        <v>69.403344180263417</v>
      </c>
      <c r="L74" s="14">
        <f t="shared" si="29"/>
        <v>69.056327459362095</v>
      </c>
      <c r="M74" s="14">
        <f t="shared" si="29"/>
        <v>73.821214054058089</v>
      </c>
      <c r="N74" s="14">
        <f t="shared" si="29"/>
        <v>73.009180699463428</v>
      </c>
      <c r="O74" s="14">
        <f t="shared" si="29"/>
        <v>73.0821898801629</v>
      </c>
      <c r="P74" s="14">
        <f t="shared" si="29"/>
        <v>73.374518639683544</v>
      </c>
      <c r="Q74" s="14">
        <f t="shared" si="29"/>
        <v>74.255012863359752</v>
      </c>
      <c r="R74" s="14">
        <f t="shared" si="29"/>
        <v>75.814368133490291</v>
      </c>
      <c r="S74" s="14">
        <f t="shared" si="29"/>
        <v>77.558098600560569</v>
      </c>
      <c r="T74" s="14">
        <f t="shared" si="29"/>
        <v>79.264376769772923</v>
      </c>
      <c r="U74" s="14">
        <f t="shared" si="29"/>
        <v>80.928928681938146</v>
      </c>
      <c r="V74" s="14">
        <f t="shared" si="29"/>
        <v>82.628436184258845</v>
      </c>
      <c r="W74" s="23">
        <f t="shared" si="21"/>
        <v>1.8673644293121239E-2</v>
      </c>
    </row>
    <row r="75" spans="1:23" x14ac:dyDescent="0.3">
      <c r="A75" t="s">
        <v>72</v>
      </c>
      <c r="B75" s="14">
        <f t="shared" ref="B75:V75" si="30">$B12*B54/100</f>
        <v>9.1039999999999992</v>
      </c>
      <c r="C75" s="14">
        <f t="shared" si="30"/>
        <v>9.1950399999999988</v>
      </c>
      <c r="D75" s="14">
        <f t="shared" si="30"/>
        <v>9.5720366399999985</v>
      </c>
      <c r="E75" s="14">
        <f t="shared" si="30"/>
        <v>10.175074948319997</v>
      </c>
      <c r="F75" s="14">
        <f t="shared" si="30"/>
        <v>10.948380644392319</v>
      </c>
      <c r="G75" s="14">
        <f t="shared" si="30"/>
        <v>11.999425186253982</v>
      </c>
      <c r="H75" s="14">
        <f t="shared" si="30"/>
        <v>12.491401618890395</v>
      </c>
      <c r="I75" s="14">
        <f t="shared" si="30"/>
        <v>14.115283829346145</v>
      </c>
      <c r="J75" s="14">
        <f t="shared" si="30"/>
        <v>15.131584265059068</v>
      </c>
      <c r="K75" s="14">
        <f t="shared" si="30"/>
        <v>15.75197921992649</v>
      </c>
      <c r="L75" s="14">
        <f t="shared" si="30"/>
        <v>15.200659947229063</v>
      </c>
      <c r="M75" s="14">
        <f t="shared" si="30"/>
        <v>17.237548380157754</v>
      </c>
      <c r="N75" s="14">
        <f t="shared" si="30"/>
        <v>17.668487089661696</v>
      </c>
      <c r="O75" s="14">
        <f t="shared" si="30"/>
        <v>19.541346721165841</v>
      </c>
      <c r="P75" s="14">
        <f t="shared" si="30"/>
        <v>20.870158298205119</v>
      </c>
      <c r="Q75" s="14">
        <f t="shared" si="30"/>
        <v>21.684094471835113</v>
      </c>
      <c r="R75" s="14">
        <f t="shared" si="30"/>
        <v>22.52977415623668</v>
      </c>
      <c r="S75" s="14">
        <f t="shared" si="30"/>
        <v>23.430965122486153</v>
      </c>
      <c r="T75" s="14">
        <f t="shared" si="30"/>
        <v>24.368203727385602</v>
      </c>
      <c r="U75" s="14">
        <f t="shared" si="30"/>
        <v>25.342931876481025</v>
      </c>
      <c r="V75" s="14">
        <f t="shared" si="30"/>
        <v>26.356649151540267</v>
      </c>
      <c r="W75" s="23">
        <f t="shared" si="21"/>
        <v>5.956418361911342E-2</v>
      </c>
    </row>
    <row r="76" spans="1:23" x14ac:dyDescent="0.3">
      <c r="A76" t="s">
        <v>73</v>
      </c>
      <c r="B76" s="14">
        <f t="shared" ref="B76:V76" si="31">$B13*B55/100</f>
        <v>853.16099999999994</v>
      </c>
      <c r="C76" s="14">
        <f t="shared" si="31"/>
        <v>868.51789799999995</v>
      </c>
      <c r="D76" s="14">
        <f t="shared" si="31"/>
        <v>859.8327190199999</v>
      </c>
      <c r="E76" s="14">
        <f t="shared" si="31"/>
        <v>859.8327190199999</v>
      </c>
      <c r="F76" s="14">
        <f t="shared" si="31"/>
        <v>873.59004252431987</v>
      </c>
      <c r="G76" s="14">
        <f t="shared" si="31"/>
        <v>891.9354334173305</v>
      </c>
      <c r="H76" s="14">
        <f t="shared" si="31"/>
        <v>913.34188381934644</v>
      </c>
      <c r="I76" s="14">
        <f t="shared" si="31"/>
        <v>938.91545656628819</v>
      </c>
      <c r="J76" s="14">
        <f t="shared" si="31"/>
        <v>960.51051206731279</v>
      </c>
      <c r="K76" s="14">
        <f t="shared" si="31"/>
        <v>982.6022538448608</v>
      </c>
      <c r="L76" s="14">
        <f t="shared" si="31"/>
        <v>944.28076594491131</v>
      </c>
      <c r="M76" s="14">
        <f t="shared" si="31"/>
        <v>1003.7704541994406</v>
      </c>
      <c r="N76" s="14">
        <f t="shared" si="31"/>
        <v>1053.9589769094125</v>
      </c>
      <c r="O76" s="14">
        <f t="shared" si="31"/>
        <v>1047.6352230479563</v>
      </c>
      <c r="P76" s="14">
        <f t="shared" si="31"/>
        <v>1059.1592105014834</v>
      </c>
      <c r="Q76" s="14">
        <f t="shared" si="31"/>
        <v>1073.9874394485043</v>
      </c>
      <c r="R76" s="14">
        <f t="shared" si="31"/>
        <v>1086.8752887218864</v>
      </c>
      <c r="S76" s="14">
        <f t="shared" si="31"/>
        <v>1102.0915427639927</v>
      </c>
      <c r="T76" s="14">
        <f t="shared" si="31"/>
        <v>1117.5208243626889</v>
      </c>
      <c r="U76" s="14">
        <f t="shared" si="31"/>
        <v>1132.0485950794036</v>
      </c>
      <c r="V76" s="14">
        <f t="shared" si="31"/>
        <v>1145.6331782203565</v>
      </c>
      <c r="W76" s="23">
        <f t="shared" si="21"/>
        <v>1.546403663849083E-2</v>
      </c>
    </row>
    <row r="77" spans="1:23" x14ac:dyDescent="0.3">
      <c r="A77" t="s">
        <v>74</v>
      </c>
      <c r="B77" s="14">
        <f t="shared" ref="B77:V77" si="32">$B14*B56/100</f>
        <v>431.05200000000002</v>
      </c>
      <c r="C77" s="14">
        <f t="shared" si="32"/>
        <v>435.79357199999998</v>
      </c>
      <c r="D77" s="14">
        <f t="shared" si="32"/>
        <v>447.55999844399992</v>
      </c>
      <c r="E77" s="14">
        <f t="shared" si="32"/>
        <v>452.03559842843998</v>
      </c>
      <c r="F77" s="14">
        <f t="shared" si="32"/>
        <v>461.0763103970088</v>
      </c>
      <c r="G77" s="14">
        <f t="shared" si="32"/>
        <v>469.83676029455188</v>
      </c>
      <c r="H77" s="14">
        <f t="shared" si="32"/>
        <v>475.47480141808649</v>
      </c>
      <c r="I77" s="14">
        <f t="shared" si="32"/>
        <v>487.36167145353863</v>
      </c>
      <c r="J77" s="14">
        <f t="shared" si="32"/>
        <v>491.26056482516697</v>
      </c>
      <c r="K77" s="14">
        <f t="shared" si="32"/>
        <v>496.66443103824378</v>
      </c>
      <c r="L77" s="14">
        <f t="shared" si="32"/>
        <v>490.20779343474658</v>
      </c>
      <c r="M77" s="14">
        <f t="shared" si="32"/>
        <v>509.32589737870165</v>
      </c>
      <c r="N77" s="14">
        <f t="shared" si="32"/>
        <v>525.62432609482016</v>
      </c>
      <c r="O77" s="14">
        <f t="shared" si="32"/>
        <v>526.14995042091493</v>
      </c>
      <c r="P77" s="14">
        <f t="shared" si="32"/>
        <v>537.19909937975399</v>
      </c>
      <c r="Q77" s="14">
        <f t="shared" si="32"/>
        <v>543.64548857231114</v>
      </c>
      <c r="R77" s="14">
        <f t="shared" si="32"/>
        <v>552.3438163894682</v>
      </c>
      <c r="S77" s="14">
        <f t="shared" si="32"/>
        <v>561.18131745169967</v>
      </c>
      <c r="T77" s="14">
        <f t="shared" si="32"/>
        <v>568.47667457857165</v>
      </c>
      <c r="U77" s="14">
        <f t="shared" si="32"/>
        <v>575.86687134809301</v>
      </c>
      <c r="V77" s="14">
        <f t="shared" si="32"/>
        <v>583.35314067561819</v>
      </c>
      <c r="W77" s="23">
        <f t="shared" si="21"/>
        <v>1.5591541021630073E-2</v>
      </c>
    </row>
    <row r="78" spans="1:23" x14ac:dyDescent="0.3">
      <c r="A78" t="s">
        <v>75</v>
      </c>
      <c r="B78" s="14">
        <f t="shared" ref="B78:V78" si="33">$B15*B57/100</f>
        <v>238.63900000000001</v>
      </c>
      <c r="C78" s="14">
        <f t="shared" si="33"/>
        <v>234.58213699999999</v>
      </c>
      <c r="D78" s="14">
        <f t="shared" si="33"/>
        <v>224.96426938300002</v>
      </c>
      <c r="E78" s="14">
        <f t="shared" si="33"/>
        <v>222.71462668917005</v>
      </c>
      <c r="F78" s="14">
        <f t="shared" si="33"/>
        <v>224.27362907599417</v>
      </c>
      <c r="G78" s="14">
        <f t="shared" si="33"/>
        <v>227.86200714121011</v>
      </c>
      <c r="H78" s="14">
        <f t="shared" si="33"/>
        <v>232.41924728403433</v>
      </c>
      <c r="I78" s="14">
        <f t="shared" si="33"/>
        <v>240.08908244440744</v>
      </c>
      <c r="J78" s="14">
        <f t="shared" si="33"/>
        <v>247.05166583529524</v>
      </c>
      <c r="K78" s="14">
        <f t="shared" si="33"/>
        <v>253.72206081284821</v>
      </c>
      <c r="L78" s="14">
        <f t="shared" si="33"/>
        <v>232.91685182619466</v>
      </c>
      <c r="M78" s="14">
        <f t="shared" si="33"/>
        <v>245.96019552846155</v>
      </c>
      <c r="N78" s="14">
        <f t="shared" si="33"/>
        <v>263.17740921545391</v>
      </c>
      <c r="O78" s="14">
        <f t="shared" si="33"/>
        <v>270.02002185505569</v>
      </c>
      <c r="P78" s="14">
        <f t="shared" si="33"/>
        <v>275.1504022703017</v>
      </c>
      <c r="Q78" s="14">
        <f t="shared" si="33"/>
        <v>280.37825991343738</v>
      </c>
      <c r="R78" s="14">
        <f t="shared" si="33"/>
        <v>286.26620337161955</v>
      </c>
      <c r="S78" s="14">
        <f t="shared" si="33"/>
        <v>290.56019642219383</v>
      </c>
      <c r="T78" s="14">
        <f t="shared" si="33"/>
        <v>295.20915956494895</v>
      </c>
      <c r="U78" s="14">
        <f t="shared" si="33"/>
        <v>299.93250611798811</v>
      </c>
      <c r="V78" s="14">
        <f t="shared" si="33"/>
        <v>305.03135872199385</v>
      </c>
      <c r="W78" s="23">
        <f t="shared" si="21"/>
        <v>1.080378861926401E-2</v>
      </c>
    </row>
    <row r="79" spans="1:23" x14ac:dyDescent="0.3">
      <c r="A79" t="s">
        <v>76</v>
      </c>
      <c r="B79" s="14">
        <f t="shared" ref="B79:V79" si="34">$B16*B58/100</f>
        <v>1429.155</v>
      </c>
      <c r="C79" s="14">
        <f t="shared" si="34"/>
        <v>1420.5800700000002</v>
      </c>
      <c r="D79" s="14">
        <f t="shared" si="34"/>
        <v>1379.3832479700002</v>
      </c>
      <c r="E79" s="14">
        <f t="shared" si="34"/>
        <v>1360.0718824984201</v>
      </c>
      <c r="F79" s="14">
        <f t="shared" si="34"/>
        <v>1380.4729607358961</v>
      </c>
      <c r="G79" s="14">
        <f t="shared" si="34"/>
        <v>1437.0723521260679</v>
      </c>
      <c r="H79" s="14">
        <f t="shared" si="34"/>
        <v>1478.7474503377236</v>
      </c>
      <c r="I79" s="14">
        <f t="shared" si="34"/>
        <v>1521.6311263975176</v>
      </c>
      <c r="J79" s="14">
        <f t="shared" si="34"/>
        <v>1558.1502734310582</v>
      </c>
      <c r="K79" s="14">
        <f t="shared" si="34"/>
        <v>1589.3132788996791</v>
      </c>
      <c r="L79" s="14">
        <f t="shared" si="34"/>
        <v>1416.0781314996141</v>
      </c>
      <c r="M79" s="14">
        <f t="shared" si="34"/>
        <v>1510.955366310088</v>
      </c>
      <c r="N79" s="14">
        <f t="shared" si="34"/>
        <v>1607.656509753934</v>
      </c>
      <c r="O79" s="14">
        <f t="shared" si="34"/>
        <v>1647.8479224977821</v>
      </c>
      <c r="P79" s="14">
        <f t="shared" si="34"/>
        <v>1705.5225997852042</v>
      </c>
      <c r="Q79" s="14">
        <f t="shared" si="34"/>
        <v>1754.9827551789751</v>
      </c>
      <c r="R79" s="14">
        <f t="shared" si="34"/>
        <v>1790.0824102825545</v>
      </c>
      <c r="S79" s="14">
        <f t="shared" si="34"/>
        <v>1820.5138112573579</v>
      </c>
      <c r="T79" s="14">
        <f t="shared" si="34"/>
        <v>1849.6420322374759</v>
      </c>
      <c r="U79" s="14">
        <f t="shared" si="34"/>
        <v>1879.2363047532754</v>
      </c>
      <c r="V79" s="14">
        <f t="shared" si="34"/>
        <v>1909.304085629328</v>
      </c>
      <c r="W79" s="23">
        <f t="shared" si="21"/>
        <v>1.3785872078597272E-2</v>
      </c>
    </row>
    <row r="80" spans="1:23" x14ac:dyDescent="0.3">
      <c r="A80" t="s">
        <v>77</v>
      </c>
      <c r="B80" s="14">
        <f t="shared" ref="B80:V80" si="35">$B17*B59/100</f>
        <v>492.75099999999998</v>
      </c>
      <c r="C80" s="14">
        <f t="shared" si="35"/>
        <v>508.51903199999998</v>
      </c>
      <c r="D80" s="14">
        <f t="shared" si="35"/>
        <v>506.484955872</v>
      </c>
      <c r="E80" s="14">
        <f t="shared" si="35"/>
        <v>512.05629038659197</v>
      </c>
      <c r="F80" s="14">
        <f t="shared" si="35"/>
        <v>523.83358506548348</v>
      </c>
      <c r="G80" s="14">
        <f t="shared" si="35"/>
        <v>546.88226280836477</v>
      </c>
      <c r="H80" s="14">
        <f t="shared" si="35"/>
        <v>558.36679032734037</v>
      </c>
      <c r="I80" s="14">
        <f t="shared" si="35"/>
        <v>568.97575934355973</v>
      </c>
      <c r="J80" s="14">
        <f t="shared" si="35"/>
        <v>579.21732301174382</v>
      </c>
      <c r="K80" s="14">
        <f t="shared" si="35"/>
        <v>594.27697341004921</v>
      </c>
      <c r="L80" s="14">
        <f t="shared" si="35"/>
        <v>582.98571091525821</v>
      </c>
      <c r="M80" s="14">
        <f t="shared" si="35"/>
        <v>613.30096788285164</v>
      </c>
      <c r="N80" s="14">
        <f t="shared" si="35"/>
        <v>621.27388046532872</v>
      </c>
      <c r="O80" s="14">
        <f t="shared" si="35"/>
        <v>620.03133270439798</v>
      </c>
      <c r="P80" s="14">
        <f t="shared" si="35"/>
        <v>624.99158336603318</v>
      </c>
      <c r="Q80" s="14">
        <f t="shared" si="35"/>
        <v>629.36652444959543</v>
      </c>
      <c r="R80" s="14">
        <f t="shared" si="35"/>
        <v>641.3244884141377</v>
      </c>
      <c r="S80" s="14">
        <f t="shared" si="35"/>
        <v>652.8683292055922</v>
      </c>
      <c r="T80" s="14">
        <f t="shared" si="35"/>
        <v>663.96709080208723</v>
      </c>
      <c r="U80" s="14">
        <f t="shared" si="35"/>
        <v>675.25453134572263</v>
      </c>
      <c r="V80" s="14">
        <f t="shared" si="35"/>
        <v>686.73385837859985</v>
      </c>
      <c r="W80" s="23">
        <f t="shared" si="21"/>
        <v>1.6447787803087532E-2</v>
      </c>
    </row>
    <row r="81" spans="1:23" x14ac:dyDescent="0.3">
      <c r="A81" t="s">
        <v>78</v>
      </c>
      <c r="B81" s="14">
        <f t="shared" ref="B81:V81" si="36">$B18*B60/100</f>
        <v>598.33699999999999</v>
      </c>
      <c r="C81" s="14">
        <f t="shared" si="36"/>
        <v>609.70540299999993</v>
      </c>
      <c r="D81" s="14">
        <f t="shared" si="36"/>
        <v>617.02186783599996</v>
      </c>
      <c r="E81" s="14">
        <f t="shared" si="36"/>
        <v>628.74528332488399</v>
      </c>
      <c r="F81" s="14">
        <f t="shared" si="36"/>
        <v>643.20642484135624</v>
      </c>
      <c r="G81" s="14">
        <f t="shared" si="36"/>
        <v>653.49772763881788</v>
      </c>
      <c r="H81" s="14">
        <f t="shared" si="36"/>
        <v>667.22117991923312</v>
      </c>
      <c r="I81" s="14">
        <f t="shared" si="36"/>
        <v>676.56227643810223</v>
      </c>
      <c r="J81" s="14">
        <f t="shared" si="36"/>
        <v>696.18258245480729</v>
      </c>
      <c r="K81" s="14">
        <f t="shared" si="36"/>
        <v>704.53677344426478</v>
      </c>
      <c r="L81" s="14">
        <f t="shared" si="36"/>
        <v>688.33242765504679</v>
      </c>
      <c r="M81" s="14">
        <f t="shared" si="36"/>
        <v>726.87904360372931</v>
      </c>
      <c r="N81" s="14">
        <f t="shared" si="36"/>
        <v>749.41229395544497</v>
      </c>
      <c r="O81" s="14">
        <f t="shared" si="36"/>
        <v>754.65818001313301</v>
      </c>
      <c r="P81" s="14">
        <f t="shared" si="36"/>
        <v>765.22339453331688</v>
      </c>
      <c r="Q81" s="14">
        <f t="shared" si="36"/>
        <v>772.11040508411679</v>
      </c>
      <c r="R81" s="14">
        <f t="shared" si="36"/>
        <v>782.14784035021012</v>
      </c>
      <c r="S81" s="14">
        <f t="shared" si="36"/>
        <v>790.75146659406232</v>
      </c>
      <c r="T81" s="14">
        <f t="shared" si="36"/>
        <v>804.98499299275545</v>
      </c>
      <c r="U81" s="14">
        <f t="shared" si="36"/>
        <v>814.64481290866865</v>
      </c>
      <c r="V81" s="14">
        <f t="shared" si="36"/>
        <v>829.30841954102459</v>
      </c>
      <c r="W81" s="23">
        <f t="shared" si="21"/>
        <v>1.7143519348423286E-2</v>
      </c>
    </row>
    <row r="82" spans="1:23" x14ac:dyDescent="0.3">
      <c r="A82" t="s">
        <v>79</v>
      </c>
      <c r="B82" s="14">
        <f t="shared" ref="B82:V82" si="37">$B19*B61/100</f>
        <v>2487.924</v>
      </c>
      <c r="C82" s="14">
        <f t="shared" si="37"/>
        <v>2515.2911639999998</v>
      </c>
      <c r="D82" s="14">
        <f t="shared" si="37"/>
        <v>2553.0205314599998</v>
      </c>
      <c r="E82" s="14">
        <f t="shared" si="37"/>
        <v>2598.9749010262799</v>
      </c>
      <c r="F82" s="14">
        <f t="shared" si="37"/>
        <v>2682.1420978591209</v>
      </c>
      <c r="G82" s="14">
        <f t="shared" si="37"/>
        <v>2741.1492240120215</v>
      </c>
      <c r="H82" s="14">
        <f t="shared" si="37"/>
        <v>2793.2310592682497</v>
      </c>
      <c r="I82" s="14">
        <f t="shared" si="37"/>
        <v>2868.6482978684926</v>
      </c>
      <c r="J82" s="14">
        <f t="shared" si="37"/>
        <v>2908.8093740386516</v>
      </c>
      <c r="K82" s="14">
        <f t="shared" si="37"/>
        <v>2955.3503240232699</v>
      </c>
      <c r="L82" s="14">
        <f t="shared" si="37"/>
        <v>2650.949240648873</v>
      </c>
      <c r="M82" s="14">
        <f t="shared" si="37"/>
        <v>2878.9308753446762</v>
      </c>
      <c r="N82" s="14">
        <f t="shared" si="37"/>
        <v>3017.1195573612204</v>
      </c>
      <c r="O82" s="14">
        <f t="shared" si="37"/>
        <v>3029.1880355906655</v>
      </c>
      <c r="P82" s="14">
        <f t="shared" si="37"/>
        <v>3062.5091039821627</v>
      </c>
      <c r="Q82" s="14">
        <f t="shared" si="37"/>
        <v>3102.3217223339307</v>
      </c>
      <c r="R82" s="14">
        <f t="shared" si="37"/>
        <v>3142.6519047242709</v>
      </c>
      <c r="S82" s="14">
        <f t="shared" si="37"/>
        <v>3189.791683295135</v>
      </c>
      <c r="T82" s="14">
        <f t="shared" si="37"/>
        <v>3234.4487668612669</v>
      </c>
      <c r="U82" s="14">
        <f t="shared" si="37"/>
        <v>3279.7310495973243</v>
      </c>
      <c r="V82" s="14">
        <f t="shared" si="37"/>
        <v>3325.6472842916874</v>
      </c>
      <c r="W82" s="23">
        <f t="shared" si="21"/>
        <v>1.4822252435396699E-2</v>
      </c>
    </row>
    <row r="83" spans="1:23" x14ac:dyDescent="0.3">
      <c r="A83" s="11" t="s">
        <v>57</v>
      </c>
      <c r="B83" s="19">
        <f>SUM(B65:B82)</f>
        <v>16824.034</v>
      </c>
      <c r="C83" s="19">
        <f t="shared" ref="C83:V83" si="38">SUM(C65:C82)</f>
        <v>17104.585888999998</v>
      </c>
      <c r="D83" s="19">
        <f t="shared" si="38"/>
        <v>17034.044972755997</v>
      </c>
      <c r="E83" s="19">
        <f t="shared" si="38"/>
        <v>17085.535184554476</v>
      </c>
      <c r="F83" s="19">
        <f t="shared" si="38"/>
        <v>17388.07285074623</v>
      </c>
      <c r="G83" s="19">
        <f t="shared" si="38"/>
        <v>17761.923868698028</v>
      </c>
      <c r="H83" s="19">
        <f t="shared" si="38"/>
        <v>18079.320306342197</v>
      </c>
      <c r="I83" s="19">
        <f t="shared" si="38"/>
        <v>18544.093311191347</v>
      </c>
      <c r="J83" s="19">
        <f t="shared" si="38"/>
        <v>18854.795247394854</v>
      </c>
      <c r="K83" s="19">
        <f t="shared" si="38"/>
        <v>19157.814559995917</v>
      </c>
      <c r="L83" s="19">
        <f t="shared" si="38"/>
        <v>17937.321584600886</v>
      </c>
      <c r="M83" s="19">
        <f t="shared" si="38"/>
        <v>19114.822140425789</v>
      </c>
      <c r="N83" s="19">
        <f t="shared" si="38"/>
        <v>19823.790923119413</v>
      </c>
      <c r="O83" s="19">
        <f t="shared" si="38"/>
        <v>19905.450073267373</v>
      </c>
      <c r="P83" s="19">
        <f t="shared" si="38"/>
        <v>20106.614691213479</v>
      </c>
      <c r="Q83" s="19">
        <f t="shared" si="38"/>
        <v>20346.955666575439</v>
      </c>
      <c r="R83" s="19">
        <f t="shared" si="38"/>
        <v>20592.946161252505</v>
      </c>
      <c r="S83" s="19">
        <f t="shared" si="38"/>
        <v>20879.560155399908</v>
      </c>
      <c r="T83" s="19">
        <f t="shared" si="38"/>
        <v>21159.164420971938</v>
      </c>
      <c r="U83" s="19">
        <f t="shared" si="38"/>
        <v>21423.36144785941</v>
      </c>
      <c r="V83" s="19">
        <f t="shared" si="38"/>
        <v>21680.974414148517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A3DD-FBD7-46B7-BC5B-5346CA1F997D}">
  <dimension ref="A1:AD184"/>
  <sheetViews>
    <sheetView tabSelected="1" topLeftCell="A165" zoomScale="70" zoomScaleNormal="70" workbookViewId="0">
      <selection activeCell="X184" sqref="X184"/>
    </sheetView>
  </sheetViews>
  <sheetFormatPr baseColWidth="10" defaultColWidth="8.88671875" defaultRowHeight="14.4" x14ac:dyDescent="0.3"/>
  <cols>
    <col min="1" max="1" width="20.88671875" bestFit="1" customWidth="1"/>
    <col min="2" max="8" width="0" hidden="1" customWidth="1"/>
    <col min="9" max="9" width="17.77734375" bestFit="1" customWidth="1"/>
    <col min="10" max="11" width="13.77734375" bestFit="1" customWidth="1"/>
    <col min="12" max="24" width="15" bestFit="1" customWidth="1"/>
    <col min="25" max="29" width="11.109375" bestFit="1" customWidth="1"/>
  </cols>
  <sheetData>
    <row r="1" spans="1:29" x14ac:dyDescent="0.3">
      <c r="A1" s="2" t="s">
        <v>22</v>
      </c>
      <c r="B1" s="2"/>
      <c r="C1" s="3"/>
      <c r="D1" s="3"/>
      <c r="E1" s="3"/>
      <c r="F1" s="3"/>
      <c r="G1" s="3"/>
      <c r="H1" s="3"/>
      <c r="I1" s="4">
        <v>40543</v>
      </c>
      <c r="J1" s="4">
        <f t="shared" ref="J1:AC1" si="0">EOMONTH(I1,12)</f>
        <v>40908</v>
      </c>
      <c r="K1" s="4">
        <f t="shared" si="0"/>
        <v>41274</v>
      </c>
      <c r="L1" s="4">
        <f t="shared" si="0"/>
        <v>41639</v>
      </c>
      <c r="M1" s="4">
        <f t="shared" si="0"/>
        <v>42004</v>
      </c>
      <c r="N1" s="4">
        <f t="shared" si="0"/>
        <v>42369</v>
      </c>
      <c r="O1" s="4">
        <f t="shared" si="0"/>
        <v>42735</v>
      </c>
      <c r="P1" s="4">
        <f t="shared" si="0"/>
        <v>43100</v>
      </c>
      <c r="Q1" s="4">
        <f t="shared" si="0"/>
        <v>43465</v>
      </c>
      <c r="R1" s="4">
        <f t="shared" si="0"/>
        <v>43830</v>
      </c>
      <c r="S1" s="4">
        <f t="shared" si="0"/>
        <v>44196</v>
      </c>
      <c r="T1" s="4">
        <f t="shared" si="0"/>
        <v>44561</v>
      </c>
      <c r="U1" s="4">
        <f t="shared" si="0"/>
        <v>44926</v>
      </c>
      <c r="V1" s="4">
        <f t="shared" si="0"/>
        <v>45291</v>
      </c>
      <c r="W1" s="4">
        <f t="shared" si="0"/>
        <v>45657</v>
      </c>
      <c r="X1" s="4">
        <f t="shared" si="0"/>
        <v>46022</v>
      </c>
      <c r="Y1" s="4">
        <f t="shared" si="0"/>
        <v>46387</v>
      </c>
      <c r="Z1" s="4">
        <f t="shared" si="0"/>
        <v>46752</v>
      </c>
      <c r="AA1" s="4">
        <f t="shared" si="0"/>
        <v>47118</v>
      </c>
      <c r="AB1" s="4">
        <f t="shared" si="0"/>
        <v>47483</v>
      </c>
      <c r="AC1" s="4">
        <f t="shared" si="0"/>
        <v>47848</v>
      </c>
    </row>
    <row r="2" spans="1:29" x14ac:dyDescent="0.3">
      <c r="A2" s="5" t="s">
        <v>0</v>
      </c>
      <c r="B2" s="5"/>
      <c r="C2" s="5" t="s">
        <v>23</v>
      </c>
      <c r="D2" s="5" t="str">
        <f>UPPER(LEFT(A2,3))</f>
        <v>ALB</v>
      </c>
      <c r="E2" s="5"/>
      <c r="F2" s="5" t="str">
        <f t="shared" ref="F2:F21" si="1">C2&amp;"TBSP Index"</f>
        <v>ABIATBSP Index</v>
      </c>
      <c r="G2" s="5"/>
      <c r="H2" s="5"/>
      <c r="I2" s="6">
        <v>2986952</v>
      </c>
      <c r="J2" s="6">
        <v>2994667</v>
      </c>
      <c r="K2" s="6">
        <v>3002859</v>
      </c>
      <c r="L2" s="6">
        <v>3011405</v>
      </c>
      <c r="M2" s="6">
        <v>3020209</v>
      </c>
      <c r="N2" s="6">
        <v>3029278</v>
      </c>
      <c r="O2" s="6">
        <v>3038594</v>
      </c>
      <c r="P2" s="6">
        <v>3047987</v>
      </c>
      <c r="Q2" s="6">
        <v>3057220</v>
      </c>
      <c r="R2" s="6">
        <v>3066126</v>
      </c>
      <c r="S2" s="6">
        <v>3074579</v>
      </c>
      <c r="T2" s="6">
        <v>3082448</v>
      </c>
      <c r="U2" s="6">
        <v>3095344</v>
      </c>
      <c r="V2" s="6">
        <v>3101621</v>
      </c>
      <c r="W2" s="6">
        <v>3107100</v>
      </c>
      <c r="X2" s="6">
        <v>3111630</v>
      </c>
      <c r="Y2" s="6">
        <v>3115029</v>
      </c>
      <c r="Z2" s="6">
        <v>3117196</v>
      </c>
      <c r="AA2" s="6">
        <v>3118092</v>
      </c>
      <c r="AB2" s="6">
        <v>3117727</v>
      </c>
      <c r="AC2" s="6">
        <v>3116046</v>
      </c>
    </row>
    <row r="3" spans="1:29" x14ac:dyDescent="0.3">
      <c r="A3" s="5" t="s">
        <v>1</v>
      </c>
      <c r="B3" s="5"/>
      <c r="C3" s="5" t="s">
        <v>24</v>
      </c>
      <c r="D3" s="5" t="str">
        <f>UPPER(LEFT(A3,3))</f>
        <v>ARM</v>
      </c>
      <c r="E3" s="5"/>
      <c r="F3" s="5" t="str">
        <f t="shared" si="1"/>
        <v>ARMNTBSP Index</v>
      </c>
      <c r="G3" s="5"/>
      <c r="H3" s="5"/>
      <c r="I3" s="6">
        <v>3071972</v>
      </c>
      <c r="J3" s="6">
        <v>3069558</v>
      </c>
      <c r="K3" s="6">
        <v>3067015</v>
      </c>
      <c r="L3" s="6">
        <v>3064111</v>
      </c>
      <c r="M3" s="6">
        <v>3060631</v>
      </c>
      <c r="N3" s="6">
        <v>3056382</v>
      </c>
      <c r="O3" s="6">
        <v>3051250</v>
      </c>
      <c r="P3" s="6">
        <v>3045191</v>
      </c>
      <c r="Q3" s="6">
        <v>3038217</v>
      </c>
      <c r="R3" s="6">
        <v>3030288</v>
      </c>
      <c r="S3" s="6">
        <v>3021324</v>
      </c>
      <c r="T3" s="6">
        <v>3011222</v>
      </c>
      <c r="U3" s="6">
        <v>3000756</v>
      </c>
      <c r="V3" s="6">
        <v>2989091</v>
      </c>
      <c r="W3" s="6">
        <v>2976765</v>
      </c>
      <c r="X3" s="6">
        <v>2963837</v>
      </c>
      <c r="Y3" s="6">
        <v>2950306</v>
      </c>
      <c r="Z3" s="6">
        <v>2936262</v>
      </c>
      <c r="AA3" s="6">
        <v>2921860</v>
      </c>
      <c r="AB3" s="6">
        <v>2907216</v>
      </c>
      <c r="AC3" s="6">
        <v>2892342</v>
      </c>
    </row>
    <row r="4" spans="1:29" x14ac:dyDescent="0.3">
      <c r="A4" s="5" t="s">
        <v>2</v>
      </c>
      <c r="B4" s="5"/>
      <c r="C4" s="5" t="s">
        <v>25</v>
      </c>
      <c r="D4" s="5" t="str">
        <f>UPPER(LEFT(A4,3))</f>
        <v>AZE</v>
      </c>
      <c r="E4" s="5"/>
      <c r="F4" s="5" t="str">
        <f t="shared" si="1"/>
        <v>AZERTBSP Index</v>
      </c>
      <c r="G4" s="5"/>
      <c r="H4" s="5"/>
      <c r="I4" s="6">
        <v>9301673</v>
      </c>
      <c r="J4" s="6">
        <v>9397279</v>
      </c>
      <c r="K4" s="6">
        <v>9493600</v>
      </c>
      <c r="L4" s="6">
        <v>9590159</v>
      </c>
      <c r="M4" s="6">
        <v>9686210</v>
      </c>
      <c r="N4" s="6">
        <v>9780780</v>
      </c>
      <c r="O4" s="6">
        <v>9872765</v>
      </c>
      <c r="P4" s="6">
        <v>9961396</v>
      </c>
      <c r="Q4" s="6">
        <v>10046516</v>
      </c>
      <c r="R4" s="6">
        <v>10128025</v>
      </c>
      <c r="S4" s="6">
        <v>10205810</v>
      </c>
      <c r="T4" s="6">
        <v>10279658</v>
      </c>
      <c r="U4" s="6">
        <v>10559462</v>
      </c>
      <c r="V4" s="6">
        <v>10604731</v>
      </c>
      <c r="W4" s="6">
        <v>10650239</v>
      </c>
      <c r="X4" s="6">
        <v>10694370</v>
      </c>
      <c r="Y4" s="6">
        <v>10736712</v>
      </c>
      <c r="Z4" s="6">
        <v>10778564</v>
      </c>
      <c r="AA4" s="6">
        <v>10819904</v>
      </c>
      <c r="AB4" s="6">
        <v>10860548</v>
      </c>
      <c r="AC4" s="6">
        <v>10900586</v>
      </c>
    </row>
    <row r="5" spans="1:29" x14ac:dyDescent="0.3">
      <c r="A5" s="7" t="s">
        <v>3</v>
      </c>
      <c r="B5" s="5"/>
      <c r="C5" s="5" t="s">
        <v>26</v>
      </c>
      <c r="D5" s="5" t="s">
        <v>27</v>
      </c>
      <c r="E5" s="5"/>
      <c r="F5" s="5" t="str">
        <f t="shared" si="1"/>
        <v>BSHETBSP Index</v>
      </c>
      <c r="G5" s="5"/>
      <c r="H5" s="5"/>
      <c r="I5" s="6">
        <v>3884899</v>
      </c>
      <c r="J5" s="6">
        <v>3882359</v>
      </c>
      <c r="K5" s="6">
        <v>3879296</v>
      </c>
      <c r="L5" s="6">
        <v>3875723</v>
      </c>
      <c r="M5" s="6">
        <v>3871643</v>
      </c>
      <c r="N5" s="6">
        <v>3867055</v>
      </c>
      <c r="O5" s="6">
        <v>3861912</v>
      </c>
      <c r="P5" s="6">
        <v>3856181</v>
      </c>
      <c r="Q5" s="6">
        <v>3849891</v>
      </c>
      <c r="R5" s="6">
        <v>3843037</v>
      </c>
      <c r="S5" s="6">
        <v>3835586</v>
      </c>
      <c r="T5" s="6">
        <v>3827465</v>
      </c>
      <c r="U5" s="6">
        <v>3816459</v>
      </c>
      <c r="V5" s="6">
        <v>3807764</v>
      </c>
      <c r="W5" s="6">
        <v>3798671</v>
      </c>
      <c r="X5" s="6">
        <v>3789077</v>
      </c>
      <c r="Y5" s="6">
        <v>3778869</v>
      </c>
      <c r="Z5" s="6">
        <v>3767946</v>
      </c>
      <c r="AA5" s="6">
        <v>3756220</v>
      </c>
      <c r="AB5" s="6">
        <v>3743685</v>
      </c>
      <c r="AC5" s="6">
        <v>3730292</v>
      </c>
    </row>
    <row r="6" spans="1:29" x14ac:dyDescent="0.3">
      <c r="A6" s="5" t="s">
        <v>4</v>
      </c>
      <c r="B6" s="5"/>
      <c r="C6" s="5" t="s">
        <v>28</v>
      </c>
      <c r="D6" s="5" t="s">
        <v>29</v>
      </c>
      <c r="E6" s="5"/>
      <c r="F6" s="5" t="str">
        <f t="shared" si="1"/>
        <v>BULGTBSP Index</v>
      </c>
      <c r="G6" s="5"/>
      <c r="H6" s="5"/>
      <c r="I6" s="6">
        <v>7391079</v>
      </c>
      <c r="J6" s="6">
        <v>7350504</v>
      </c>
      <c r="K6" s="6">
        <v>7308613</v>
      </c>
      <c r="L6" s="6">
        <v>7267961</v>
      </c>
      <c r="M6" s="6">
        <v>7228183</v>
      </c>
      <c r="N6" s="6">
        <v>7186893</v>
      </c>
      <c r="O6" s="6">
        <v>7144653</v>
      </c>
      <c r="P6" s="6">
        <v>7101510</v>
      </c>
      <c r="Q6" s="6">
        <v>7057504</v>
      </c>
      <c r="R6" s="6">
        <v>7012640</v>
      </c>
      <c r="S6" s="6">
        <v>6966899</v>
      </c>
      <c r="T6" s="6">
        <v>6920315</v>
      </c>
      <c r="U6" s="6">
        <v>6873253</v>
      </c>
      <c r="V6" s="6">
        <v>6827736</v>
      </c>
      <c r="W6" s="6">
        <v>6782659</v>
      </c>
      <c r="X6" s="6">
        <v>6737997</v>
      </c>
      <c r="Y6" s="6">
        <v>6693714</v>
      </c>
      <c r="Z6" s="6">
        <v>6649805</v>
      </c>
      <c r="AA6" s="6">
        <v>6606303</v>
      </c>
      <c r="AB6" s="6">
        <v>6563256</v>
      </c>
      <c r="AC6" s="6">
        <v>6520697</v>
      </c>
    </row>
    <row r="7" spans="1:29" x14ac:dyDescent="0.3">
      <c r="A7" s="5" t="s">
        <v>5</v>
      </c>
      <c r="B7" s="5"/>
      <c r="C7" s="5" t="s">
        <v>30</v>
      </c>
      <c r="D7" s="5" t="s">
        <v>31</v>
      </c>
      <c r="E7" s="5"/>
      <c r="F7" s="5" t="str">
        <f t="shared" si="1"/>
        <v>CRTATBSP Index</v>
      </c>
      <c r="G7" s="5"/>
      <c r="H7" s="5"/>
      <c r="I7" s="6">
        <v>4417475</v>
      </c>
      <c r="J7" s="6">
        <v>4403676</v>
      </c>
      <c r="K7" s="6">
        <v>4389754</v>
      </c>
      <c r="L7" s="6">
        <v>4375160</v>
      </c>
      <c r="M7" s="6">
        <v>4356748</v>
      </c>
      <c r="N7" s="6">
        <v>4335285</v>
      </c>
      <c r="O7" s="6">
        <v>4313911</v>
      </c>
      <c r="P7" s="6">
        <v>4292667</v>
      </c>
      <c r="Q7" s="6">
        <v>4271543</v>
      </c>
      <c r="R7" s="6">
        <v>4250505</v>
      </c>
      <c r="S7" s="6">
        <v>4229585</v>
      </c>
      <c r="T7" s="6">
        <v>4208973</v>
      </c>
      <c r="U7" s="6">
        <v>4188853</v>
      </c>
      <c r="V7" s="6">
        <v>4169239</v>
      </c>
      <c r="W7" s="6">
        <v>4150116</v>
      </c>
      <c r="X7" s="6">
        <v>4131508</v>
      </c>
      <c r="Y7" s="6">
        <v>4112955</v>
      </c>
      <c r="Z7" s="6">
        <v>4094087</v>
      </c>
      <c r="AA7" s="6">
        <v>4075046</v>
      </c>
      <c r="AB7" s="6">
        <v>4055934</v>
      </c>
      <c r="AC7" s="6">
        <v>4036866</v>
      </c>
    </row>
    <row r="8" spans="1:29" x14ac:dyDescent="0.3">
      <c r="A8" s="5" t="s">
        <v>6</v>
      </c>
      <c r="B8" s="5"/>
      <c r="C8" s="5" t="s">
        <v>32</v>
      </c>
      <c r="D8" s="5" t="str">
        <f>UPPER(LEFT(A8,3))</f>
        <v>CZE</v>
      </c>
      <c r="E8" s="5"/>
      <c r="F8" s="5" t="str">
        <f t="shared" si="1"/>
        <v>CZECTBSP Index</v>
      </c>
      <c r="G8" s="5"/>
      <c r="H8" s="5"/>
      <c r="I8" s="6">
        <v>10550886</v>
      </c>
      <c r="J8" s="6">
        <v>10573222</v>
      </c>
      <c r="K8" s="6">
        <v>10587913</v>
      </c>
      <c r="L8" s="6">
        <v>10591394</v>
      </c>
      <c r="M8" s="6">
        <v>10602468</v>
      </c>
      <c r="N8" s="6">
        <v>10623181</v>
      </c>
      <c r="O8" s="6">
        <v>10643453</v>
      </c>
      <c r="P8" s="6">
        <v>10671559</v>
      </c>
      <c r="Q8" s="6">
        <v>10707049</v>
      </c>
      <c r="R8" s="6">
        <v>10748990</v>
      </c>
      <c r="S8" s="6">
        <v>10778812</v>
      </c>
      <c r="T8" s="6">
        <v>10797500</v>
      </c>
      <c r="U8" s="6">
        <v>10816746</v>
      </c>
      <c r="V8" s="6">
        <v>10830412</v>
      </c>
      <c r="W8" s="6">
        <v>10837890</v>
      </c>
      <c r="X8" s="6">
        <v>10838703</v>
      </c>
      <c r="Y8" s="6">
        <v>10835323</v>
      </c>
      <c r="Z8" s="6">
        <v>10830457</v>
      </c>
      <c r="AA8" s="6">
        <v>10824236</v>
      </c>
      <c r="AB8" s="6">
        <v>10816841</v>
      </c>
      <c r="AC8" s="6">
        <v>10808459</v>
      </c>
    </row>
    <row r="9" spans="1:29" x14ac:dyDescent="0.3">
      <c r="A9" s="5" t="s">
        <v>7</v>
      </c>
      <c r="B9" s="5"/>
      <c r="C9" s="5" t="s">
        <v>33</v>
      </c>
      <c r="D9" s="5" t="str">
        <f>UPPER(LEFT(A9,3))</f>
        <v>EST</v>
      </c>
      <c r="E9" s="5"/>
      <c r="F9" s="5" t="str">
        <f t="shared" si="1"/>
        <v>ESTOTBSP Index</v>
      </c>
      <c r="G9" s="5"/>
      <c r="H9" s="5"/>
      <c r="I9" s="6">
        <v>1302817</v>
      </c>
      <c r="J9" s="6">
        <v>1297236</v>
      </c>
      <c r="K9" s="6">
        <v>1288868</v>
      </c>
      <c r="L9" s="6">
        <v>1279726</v>
      </c>
      <c r="M9" s="6">
        <v>1272393</v>
      </c>
      <c r="N9" s="6">
        <v>1265255</v>
      </c>
      <c r="O9" s="6">
        <v>1258272</v>
      </c>
      <c r="P9" s="6">
        <v>1251222</v>
      </c>
      <c r="Q9" s="6">
        <v>1243890</v>
      </c>
      <c r="R9" s="6">
        <v>1236253</v>
      </c>
      <c r="S9" s="6">
        <v>1228296</v>
      </c>
      <c r="T9" s="6">
        <v>1220042</v>
      </c>
      <c r="U9" s="6">
        <v>1211524</v>
      </c>
      <c r="V9" s="6">
        <v>1202762</v>
      </c>
      <c r="W9" s="6">
        <v>1193791</v>
      </c>
      <c r="X9" s="6">
        <v>1184655</v>
      </c>
      <c r="Y9" s="6">
        <v>1175394</v>
      </c>
      <c r="Z9" s="6">
        <v>1166047</v>
      </c>
      <c r="AA9" s="6">
        <v>1156665</v>
      </c>
      <c r="AB9" s="6">
        <v>1147306</v>
      </c>
      <c r="AC9" s="6">
        <v>1138017</v>
      </c>
    </row>
    <row r="10" spans="1:29" x14ac:dyDescent="0.3">
      <c r="A10" s="5" t="s">
        <v>8</v>
      </c>
      <c r="B10" s="5"/>
      <c r="C10" s="5" t="s">
        <v>34</v>
      </c>
      <c r="D10" s="5" t="str">
        <f>UPPER(LEFT(A10,3))</f>
        <v>GEO</v>
      </c>
      <c r="E10" s="5"/>
      <c r="F10" s="5" t="str">
        <f t="shared" si="1"/>
        <v>GEOGTBSP Index</v>
      </c>
      <c r="G10" s="5"/>
      <c r="H10" s="5"/>
      <c r="I10" s="6">
        <v>4902939</v>
      </c>
      <c r="J10" s="6">
        <v>4938340</v>
      </c>
      <c r="K10" s="6">
        <v>4950269</v>
      </c>
      <c r="L10" s="6">
        <v>4942158</v>
      </c>
      <c r="M10" s="6">
        <v>4935889</v>
      </c>
      <c r="N10" s="6">
        <v>4931249</v>
      </c>
      <c r="O10" s="6">
        <v>4928106</v>
      </c>
      <c r="P10" s="6">
        <v>4926448</v>
      </c>
      <c r="Q10" s="6">
        <v>4926309</v>
      </c>
      <c r="R10" s="6">
        <v>4927734</v>
      </c>
      <c r="S10" s="6">
        <v>4930665</v>
      </c>
      <c r="T10" s="6">
        <v>4933674</v>
      </c>
      <c r="U10" s="6">
        <v>4935518</v>
      </c>
      <c r="V10" s="6">
        <v>4927228</v>
      </c>
      <c r="W10" s="6">
        <v>4900961</v>
      </c>
      <c r="X10" s="6">
        <v>4877662</v>
      </c>
      <c r="Y10" s="6">
        <v>4856613</v>
      </c>
      <c r="Z10" s="6">
        <v>4837299</v>
      </c>
      <c r="AA10" s="6">
        <v>4819925</v>
      </c>
      <c r="AB10" s="6">
        <v>4804891</v>
      </c>
      <c r="AC10" s="6">
        <v>4792455</v>
      </c>
    </row>
    <row r="11" spans="1:29" x14ac:dyDescent="0.3">
      <c r="A11" s="5" t="s">
        <v>9</v>
      </c>
      <c r="B11" s="5"/>
      <c r="C11" s="5" t="s">
        <v>35</v>
      </c>
      <c r="D11" s="5" t="str">
        <f>UPPER(LEFT(A11,3))</f>
        <v>HUN</v>
      </c>
      <c r="E11" s="5"/>
      <c r="F11" s="5" t="str">
        <f t="shared" si="1"/>
        <v>HNGYTBSP Index</v>
      </c>
      <c r="G11" s="5"/>
      <c r="H11" s="5"/>
      <c r="I11" s="6">
        <v>9989465</v>
      </c>
      <c r="J11" s="6">
        <v>9970530</v>
      </c>
      <c r="K11" s="6">
        <v>9950567</v>
      </c>
      <c r="L11" s="6">
        <v>9929530</v>
      </c>
      <c r="M11" s="6">
        <v>9907419</v>
      </c>
      <c r="N11" s="6">
        <v>9884329</v>
      </c>
      <c r="O11" s="6">
        <v>9860398</v>
      </c>
      <c r="P11" s="6">
        <v>9835682</v>
      </c>
      <c r="Q11" s="6">
        <v>9810134</v>
      </c>
      <c r="R11" s="6">
        <v>9783707</v>
      </c>
      <c r="S11" s="6">
        <v>9756400</v>
      </c>
      <c r="T11" s="6">
        <v>9728337</v>
      </c>
      <c r="U11" s="6">
        <v>9699577</v>
      </c>
      <c r="V11" s="6">
        <v>9885834</v>
      </c>
      <c r="W11" s="6">
        <v>9855745</v>
      </c>
      <c r="X11" s="6">
        <v>9827455</v>
      </c>
      <c r="Y11" s="6">
        <v>9798339</v>
      </c>
      <c r="Z11" s="6">
        <v>9768324</v>
      </c>
      <c r="AA11" s="6">
        <v>9737447</v>
      </c>
      <c r="AB11" s="6">
        <v>9705694</v>
      </c>
      <c r="AC11" s="6">
        <v>9672981</v>
      </c>
    </row>
    <row r="12" spans="1:29" x14ac:dyDescent="0.3">
      <c r="A12" s="5" t="s">
        <v>10</v>
      </c>
      <c r="B12" s="5"/>
      <c r="C12" s="5" t="s">
        <v>36</v>
      </c>
      <c r="D12" s="5" t="s">
        <v>37</v>
      </c>
      <c r="E12" s="5"/>
      <c r="F12" s="5" t="str">
        <f t="shared" si="1"/>
        <v>LATVTBSP Index</v>
      </c>
      <c r="G12" s="5"/>
      <c r="H12" s="5"/>
      <c r="I12" s="6">
        <v>2115339</v>
      </c>
      <c r="J12" s="6">
        <v>2076493</v>
      </c>
      <c r="K12" s="6">
        <v>2051103</v>
      </c>
      <c r="L12" s="6">
        <v>2029430</v>
      </c>
      <c r="M12" s="6">
        <v>2007714</v>
      </c>
      <c r="N12" s="6">
        <v>1986717</v>
      </c>
      <c r="O12" s="6">
        <v>1965848</v>
      </c>
      <c r="P12" s="6">
        <v>1945078</v>
      </c>
      <c r="Q12" s="6">
        <v>1924381</v>
      </c>
      <c r="R12" s="6">
        <v>1903750</v>
      </c>
      <c r="S12" s="6">
        <v>1883186</v>
      </c>
      <c r="T12" s="6">
        <v>1862687</v>
      </c>
      <c r="U12" s="6">
        <v>1842226</v>
      </c>
      <c r="V12" s="6">
        <v>1821750</v>
      </c>
      <c r="W12" s="6">
        <v>1801246</v>
      </c>
      <c r="X12" s="6">
        <v>1780740</v>
      </c>
      <c r="Y12" s="6">
        <v>1760288</v>
      </c>
      <c r="Z12" s="6">
        <v>1739920</v>
      </c>
      <c r="AA12" s="6">
        <v>1719673</v>
      </c>
      <c r="AB12" s="6">
        <v>1699624</v>
      </c>
      <c r="AC12" s="6">
        <v>1679841</v>
      </c>
    </row>
    <row r="13" spans="1:29" x14ac:dyDescent="0.3">
      <c r="A13" s="5" t="s">
        <v>11</v>
      </c>
      <c r="B13" s="5"/>
      <c r="C13" s="5" t="s">
        <v>38</v>
      </c>
      <c r="D13" s="5" t="s">
        <v>39</v>
      </c>
      <c r="E13" s="5"/>
      <c r="F13" s="5" t="str">
        <f t="shared" si="1"/>
        <v>LITHTBSP Index</v>
      </c>
      <c r="G13" s="5"/>
      <c r="H13" s="5"/>
      <c r="I13" s="6">
        <v>3088773</v>
      </c>
      <c r="J13" s="6">
        <v>3015011</v>
      </c>
      <c r="K13" s="6">
        <v>2973159</v>
      </c>
      <c r="L13" s="6">
        <v>2943358</v>
      </c>
      <c r="M13" s="6">
        <v>2914439</v>
      </c>
      <c r="N13" s="6">
        <v>2884632</v>
      </c>
      <c r="O13" s="6">
        <v>2855139</v>
      </c>
      <c r="P13" s="6">
        <v>2825940</v>
      </c>
      <c r="Q13" s="6">
        <v>2797002</v>
      </c>
      <c r="R13" s="6">
        <v>2768295</v>
      </c>
      <c r="S13" s="6">
        <v>2739816</v>
      </c>
      <c r="T13" s="6">
        <v>2711566</v>
      </c>
      <c r="U13" s="6">
        <v>2683546</v>
      </c>
      <c r="V13" s="6">
        <v>2655755</v>
      </c>
      <c r="W13" s="6">
        <v>2628186</v>
      </c>
      <c r="X13" s="6">
        <v>2600838</v>
      </c>
      <c r="Y13" s="6">
        <v>2573717</v>
      </c>
      <c r="Z13" s="6">
        <v>2546846</v>
      </c>
      <c r="AA13" s="6">
        <v>2520267</v>
      </c>
      <c r="AB13" s="6">
        <v>2494042</v>
      </c>
      <c r="AC13" s="6">
        <v>2468224</v>
      </c>
    </row>
    <row r="14" spans="1:29" x14ac:dyDescent="0.3">
      <c r="A14" s="5" t="s">
        <v>40</v>
      </c>
      <c r="B14" s="5"/>
      <c r="C14" s="5" t="s">
        <v>41</v>
      </c>
      <c r="D14" s="5" t="s">
        <v>42</v>
      </c>
      <c r="E14" s="5"/>
      <c r="F14" s="5" t="str">
        <f t="shared" si="1"/>
        <v>MCDNTBSP Index</v>
      </c>
      <c r="G14" s="5"/>
      <c r="H14" s="5"/>
      <c r="I14" s="6">
        <v>2072086</v>
      </c>
      <c r="J14" s="6">
        <v>2077328</v>
      </c>
      <c r="K14" s="6">
        <v>2082370</v>
      </c>
      <c r="L14" s="6">
        <v>2087171</v>
      </c>
      <c r="M14" s="6">
        <v>2091719</v>
      </c>
      <c r="N14" s="6">
        <v>2096015</v>
      </c>
      <c r="O14" s="6">
        <v>2100025</v>
      </c>
      <c r="P14" s="6">
        <v>2103721</v>
      </c>
      <c r="Q14" s="6">
        <v>2107091</v>
      </c>
      <c r="R14" s="6">
        <v>2110113</v>
      </c>
      <c r="S14" s="6">
        <v>2112774</v>
      </c>
      <c r="T14" s="6">
        <v>2115028</v>
      </c>
      <c r="U14" s="6">
        <v>2116845</v>
      </c>
      <c r="V14" s="6">
        <v>2118212</v>
      </c>
      <c r="W14" s="6">
        <v>2119101</v>
      </c>
      <c r="X14" s="6">
        <v>2119511</v>
      </c>
      <c r="Y14" s="6">
        <v>2119419</v>
      </c>
      <c r="Z14" s="6">
        <v>2118797</v>
      </c>
      <c r="AA14" s="6">
        <v>2117650</v>
      </c>
      <c r="AB14" s="6">
        <v>2116000</v>
      </c>
      <c r="AC14" s="6">
        <v>2113860</v>
      </c>
    </row>
    <row r="15" spans="1:29" x14ac:dyDescent="0.3">
      <c r="A15" s="5" t="s">
        <v>12</v>
      </c>
      <c r="B15" s="5"/>
      <c r="C15" s="5" t="s">
        <v>43</v>
      </c>
      <c r="D15" s="5" t="s">
        <v>44</v>
      </c>
      <c r="E15" s="5"/>
      <c r="F15" s="5" t="str">
        <f t="shared" si="1"/>
        <v>MLDVTBSP Index</v>
      </c>
      <c r="G15" s="5"/>
      <c r="H15" s="5"/>
      <c r="I15" s="6">
        <v>3920438</v>
      </c>
      <c r="J15" s="6">
        <v>3914098</v>
      </c>
      <c r="K15" s="6">
        <v>3907889</v>
      </c>
      <c r="L15" s="6">
        <v>3901481</v>
      </c>
      <c r="M15" s="6">
        <v>3881027</v>
      </c>
      <c r="N15" s="6">
        <v>3847644</v>
      </c>
      <c r="O15" s="6">
        <v>3801856</v>
      </c>
      <c r="P15" s="6">
        <v>3740498</v>
      </c>
      <c r="Q15" s="6">
        <v>3680426</v>
      </c>
      <c r="R15" s="6">
        <v>3626590</v>
      </c>
      <c r="S15" s="6">
        <v>3587186</v>
      </c>
      <c r="T15" s="6">
        <v>3563449</v>
      </c>
      <c r="U15" s="6">
        <v>3592090</v>
      </c>
      <c r="V15" s="6">
        <v>3620399</v>
      </c>
      <c r="W15" s="6">
        <v>3599528</v>
      </c>
      <c r="X15" s="6">
        <v>3578930</v>
      </c>
      <c r="Y15" s="6">
        <v>3558465</v>
      </c>
      <c r="Z15" s="6">
        <v>3537962</v>
      </c>
      <c r="AA15" s="6">
        <v>3517391</v>
      </c>
      <c r="AB15" s="6">
        <v>3496765</v>
      </c>
      <c r="AC15" s="6">
        <v>3476121</v>
      </c>
    </row>
    <row r="16" spans="1:29" x14ac:dyDescent="0.3">
      <c r="A16" s="5" t="s">
        <v>13</v>
      </c>
      <c r="B16" s="5"/>
      <c r="C16" s="5" t="s">
        <v>45</v>
      </c>
      <c r="D16" s="5" t="s">
        <v>46</v>
      </c>
      <c r="E16" s="5"/>
      <c r="F16" s="5" t="str">
        <f t="shared" si="1"/>
        <v>MNTNTBSP Index</v>
      </c>
      <c r="G16" s="5"/>
      <c r="H16" s="5"/>
      <c r="I16" s="6">
        <v>622553</v>
      </c>
      <c r="J16" s="6">
        <v>622433</v>
      </c>
      <c r="K16" s="6">
        <v>622079</v>
      </c>
      <c r="L16" s="6">
        <v>621603</v>
      </c>
      <c r="M16" s="6">
        <v>620897</v>
      </c>
      <c r="N16" s="6">
        <v>619723</v>
      </c>
      <c r="O16" s="6">
        <v>618126</v>
      </c>
      <c r="P16" s="6">
        <v>616284</v>
      </c>
      <c r="Q16" s="6">
        <v>614229</v>
      </c>
      <c r="R16" s="6">
        <v>612064</v>
      </c>
      <c r="S16" s="6">
        <v>609786</v>
      </c>
      <c r="T16" s="6">
        <v>607414</v>
      </c>
      <c r="U16" s="6">
        <v>604966</v>
      </c>
      <c r="V16" s="6">
        <v>602445</v>
      </c>
      <c r="W16" s="6">
        <v>599849</v>
      </c>
      <c r="X16" s="6">
        <v>597174</v>
      </c>
      <c r="Y16" s="6">
        <v>594406</v>
      </c>
      <c r="Z16" s="6">
        <v>591525</v>
      </c>
      <c r="AA16" s="6">
        <v>588514</v>
      </c>
      <c r="AB16" s="6">
        <v>585362</v>
      </c>
      <c r="AC16" s="6">
        <v>582062</v>
      </c>
    </row>
    <row r="17" spans="1:30" x14ac:dyDescent="0.3">
      <c r="A17" s="5" t="s">
        <v>15</v>
      </c>
      <c r="B17" s="5"/>
      <c r="C17" s="5" t="s">
        <v>47</v>
      </c>
      <c r="D17" s="5" t="str">
        <f>UPPER(LEFT(A17,3))</f>
        <v>POL</v>
      </c>
      <c r="E17" s="5"/>
      <c r="F17" s="5" t="str">
        <f t="shared" si="1"/>
        <v>PNDOTBSP Index</v>
      </c>
      <c r="G17" s="5"/>
      <c r="H17" s="5"/>
      <c r="I17" s="6">
        <v>38616395</v>
      </c>
      <c r="J17" s="6">
        <v>38631804</v>
      </c>
      <c r="K17" s="6">
        <v>38632128</v>
      </c>
      <c r="L17" s="6">
        <v>38618538</v>
      </c>
      <c r="M17" s="6">
        <v>38592156</v>
      </c>
      <c r="N17" s="6">
        <v>38559087</v>
      </c>
      <c r="O17" s="6">
        <v>38518526</v>
      </c>
      <c r="P17" s="6">
        <v>38469803</v>
      </c>
      <c r="Q17" s="6">
        <v>38412361</v>
      </c>
      <c r="R17" s="6">
        <v>38345891</v>
      </c>
      <c r="S17" s="6">
        <v>38270292</v>
      </c>
      <c r="T17" s="6">
        <v>38185913</v>
      </c>
      <c r="U17" s="6">
        <v>38093101</v>
      </c>
      <c r="V17" s="6">
        <v>37991766</v>
      </c>
      <c r="W17" s="6">
        <v>38746310</v>
      </c>
      <c r="X17" s="6">
        <v>38364679</v>
      </c>
      <c r="Y17" s="6">
        <v>38006623</v>
      </c>
      <c r="Z17" s="6">
        <v>37684317</v>
      </c>
      <c r="AA17" s="6">
        <v>37399443</v>
      </c>
      <c r="AB17" s="6">
        <v>37153792</v>
      </c>
      <c r="AC17" s="6">
        <v>36949646</v>
      </c>
    </row>
    <row r="18" spans="1:30" x14ac:dyDescent="0.3">
      <c r="A18" s="5" t="s">
        <v>16</v>
      </c>
      <c r="B18" s="5"/>
      <c r="C18" s="5" t="s">
        <v>48</v>
      </c>
      <c r="D18" s="5" t="s">
        <v>49</v>
      </c>
      <c r="E18" s="5"/>
      <c r="F18" s="5" t="str">
        <f t="shared" si="1"/>
        <v>ROMATBSP Index</v>
      </c>
      <c r="G18" s="5"/>
      <c r="H18" s="5"/>
      <c r="I18" s="6">
        <v>21959278</v>
      </c>
      <c r="J18" s="6">
        <v>21904551</v>
      </c>
      <c r="K18" s="6">
        <v>21848504</v>
      </c>
      <c r="L18" s="6">
        <v>21790479</v>
      </c>
      <c r="M18" s="6">
        <v>21729871</v>
      </c>
      <c r="N18" s="6">
        <v>21666350</v>
      </c>
      <c r="O18" s="6">
        <v>21599736</v>
      </c>
      <c r="P18" s="6">
        <v>21529967</v>
      </c>
      <c r="Q18" s="6">
        <v>21457116</v>
      </c>
      <c r="R18" s="6">
        <v>21381356</v>
      </c>
      <c r="S18" s="6">
        <v>21302893</v>
      </c>
      <c r="T18" s="6">
        <v>21221688</v>
      </c>
      <c r="U18" s="6">
        <v>21137787</v>
      </c>
      <c r="V18" s="6">
        <v>21051452</v>
      </c>
      <c r="W18" s="6">
        <v>20962858</v>
      </c>
      <c r="X18" s="6">
        <v>20872127</v>
      </c>
      <c r="Y18" s="6">
        <v>20779194</v>
      </c>
      <c r="Z18" s="6">
        <v>20684068</v>
      </c>
      <c r="AA18" s="6">
        <v>20587055</v>
      </c>
      <c r="AB18" s="6">
        <v>20488470</v>
      </c>
      <c r="AC18" s="6">
        <v>20388581</v>
      </c>
    </row>
    <row r="19" spans="1:30" x14ac:dyDescent="0.3">
      <c r="A19" s="5" t="s">
        <v>17</v>
      </c>
      <c r="B19" s="5"/>
      <c r="C19" s="5" t="s">
        <v>50</v>
      </c>
      <c r="D19" s="5" t="s">
        <v>51</v>
      </c>
      <c r="E19" s="5"/>
      <c r="F19" s="5" t="str">
        <f t="shared" si="1"/>
        <v>SERBTBSP Index</v>
      </c>
      <c r="G19" s="5"/>
      <c r="H19" s="5"/>
      <c r="I19" s="6">
        <v>7233391</v>
      </c>
      <c r="J19" s="6">
        <v>7195769</v>
      </c>
      <c r="K19" s="6">
        <v>7159029</v>
      </c>
      <c r="L19" s="6">
        <v>7124084</v>
      </c>
      <c r="M19" s="6">
        <v>7089319</v>
      </c>
      <c r="N19" s="6">
        <v>7052916</v>
      </c>
      <c r="O19" s="6">
        <v>7015855</v>
      </c>
      <c r="P19" s="6">
        <v>6978391</v>
      </c>
      <c r="Q19" s="6">
        <v>6940138</v>
      </c>
      <c r="R19" s="6">
        <v>6902768</v>
      </c>
      <c r="S19" s="6">
        <v>6856660</v>
      </c>
      <c r="T19" s="6">
        <v>6796857</v>
      </c>
      <c r="U19" s="6">
        <v>6739471</v>
      </c>
      <c r="V19" s="6">
        <v>6693375</v>
      </c>
      <c r="W19" s="6">
        <v>6652212</v>
      </c>
      <c r="X19" s="6">
        <v>6612318</v>
      </c>
      <c r="Y19" s="6">
        <v>6573488</v>
      </c>
      <c r="Z19" s="6">
        <v>6535467</v>
      </c>
      <c r="AA19" s="6">
        <v>6497944</v>
      </c>
      <c r="AB19" s="6">
        <v>6460689</v>
      </c>
      <c r="AC19" s="6">
        <v>6423523</v>
      </c>
      <c r="AD19" s="23"/>
    </row>
    <row r="20" spans="1:30" x14ac:dyDescent="0.3">
      <c r="A20" s="5" t="s">
        <v>52</v>
      </c>
      <c r="B20" s="5"/>
      <c r="C20" s="5" t="s">
        <v>53</v>
      </c>
      <c r="D20" s="5" t="s">
        <v>54</v>
      </c>
      <c r="E20" s="5"/>
      <c r="F20" s="5" t="str">
        <f t="shared" si="1"/>
        <v>SLVKTBSP Index</v>
      </c>
      <c r="G20" s="5"/>
      <c r="H20" s="5"/>
      <c r="I20" s="6">
        <v>5426036</v>
      </c>
      <c r="J20" s="6">
        <v>5433273</v>
      </c>
      <c r="K20" s="6">
        <v>5440777</v>
      </c>
      <c r="L20" s="6">
        <v>5446591</v>
      </c>
      <c r="M20" s="6">
        <v>5451848</v>
      </c>
      <c r="N20" s="6">
        <v>5456999</v>
      </c>
      <c r="O20" s="6">
        <v>5463996</v>
      </c>
      <c r="P20" s="6">
        <v>5472430</v>
      </c>
      <c r="Q20" s="6">
        <v>5479969</v>
      </c>
      <c r="R20" s="6">
        <v>5487346</v>
      </c>
      <c r="S20" s="6">
        <v>5492134</v>
      </c>
      <c r="T20" s="6">
        <v>5487789</v>
      </c>
      <c r="U20" s="6">
        <v>5527637</v>
      </c>
      <c r="V20" s="6">
        <v>5569395</v>
      </c>
      <c r="W20" s="6">
        <v>5563649</v>
      </c>
      <c r="X20" s="6">
        <v>5559451</v>
      </c>
      <c r="Y20" s="6">
        <v>5554882</v>
      </c>
      <c r="Z20" s="6">
        <v>5548912</v>
      </c>
      <c r="AA20" s="6">
        <v>5541484</v>
      </c>
      <c r="AB20" s="6">
        <v>5532691</v>
      </c>
      <c r="AC20" s="6">
        <v>5522701</v>
      </c>
    </row>
    <row r="21" spans="1:30" x14ac:dyDescent="0.3">
      <c r="A21" s="5" t="s">
        <v>19</v>
      </c>
      <c r="B21" s="5"/>
      <c r="C21" s="5" t="s">
        <v>55</v>
      </c>
      <c r="D21" s="5" t="s">
        <v>56</v>
      </c>
      <c r="E21" s="5"/>
      <c r="F21" s="5" t="str">
        <f t="shared" si="1"/>
        <v>SLVNTBSP Index</v>
      </c>
      <c r="G21" s="5"/>
      <c r="H21" s="5"/>
      <c r="I21" s="6">
        <v>2084182</v>
      </c>
      <c r="J21" s="6">
        <v>2088442</v>
      </c>
      <c r="K21" s="6">
        <v>2092758</v>
      </c>
      <c r="L21" s="6">
        <v>2095552</v>
      </c>
      <c r="M21" s="6">
        <v>2097579</v>
      </c>
      <c r="N21" s="6">
        <v>2099131</v>
      </c>
      <c r="O21" s="6">
        <v>2100372</v>
      </c>
      <c r="P21" s="6">
        <v>2101369</v>
      </c>
      <c r="Q21" s="6">
        <v>2102031</v>
      </c>
      <c r="R21" s="6">
        <v>2102381</v>
      </c>
      <c r="S21" s="6">
        <v>2102452</v>
      </c>
      <c r="T21" s="6">
        <v>2102106</v>
      </c>
      <c r="U21" s="6">
        <v>2101208</v>
      </c>
      <c r="V21" s="6">
        <v>2099790</v>
      </c>
      <c r="W21" s="6">
        <v>2097893</v>
      </c>
      <c r="X21" s="6">
        <v>2095577</v>
      </c>
      <c r="Y21" s="6">
        <v>2092892</v>
      </c>
      <c r="Z21" s="6">
        <v>2089872</v>
      </c>
      <c r="AA21" s="6">
        <v>2086563</v>
      </c>
      <c r="AB21" s="6">
        <v>2083023</v>
      </c>
      <c r="AC21" s="6">
        <v>2079316</v>
      </c>
    </row>
    <row r="22" spans="1:30" x14ac:dyDescent="0.3">
      <c r="A22" s="3" t="s">
        <v>57</v>
      </c>
      <c r="B22" s="3"/>
      <c r="C22" s="3"/>
      <c r="D22" s="3"/>
      <c r="E22" s="3"/>
      <c r="F22" s="3"/>
      <c r="G22" s="3"/>
      <c r="H22" s="3"/>
      <c r="I22" s="8">
        <f t="shared" ref="I22:AC22" si="2">SUM(I2:I21)</f>
        <v>144938628</v>
      </c>
      <c r="J22" s="8">
        <f t="shared" si="2"/>
        <v>144836573</v>
      </c>
      <c r="K22" s="8">
        <f t="shared" si="2"/>
        <v>144728550</v>
      </c>
      <c r="L22" s="8">
        <f t="shared" si="2"/>
        <v>144585614</v>
      </c>
      <c r="M22" s="8">
        <f t="shared" si="2"/>
        <v>144418362</v>
      </c>
      <c r="N22" s="8">
        <f t="shared" si="2"/>
        <v>144228901</v>
      </c>
      <c r="O22" s="8">
        <f t="shared" si="2"/>
        <v>144012793</v>
      </c>
      <c r="P22" s="8">
        <f t="shared" si="2"/>
        <v>143773324</v>
      </c>
      <c r="Q22" s="8">
        <f t="shared" si="2"/>
        <v>143523017</v>
      </c>
      <c r="R22" s="8">
        <f t="shared" si="2"/>
        <v>143267859</v>
      </c>
      <c r="S22" s="8">
        <f t="shared" si="2"/>
        <v>142985135</v>
      </c>
      <c r="T22" s="8">
        <f t="shared" si="2"/>
        <v>142664131</v>
      </c>
      <c r="U22" s="8">
        <f t="shared" si="2"/>
        <v>142636369</v>
      </c>
      <c r="V22" s="8">
        <f t="shared" si="2"/>
        <v>142570757</v>
      </c>
      <c r="W22" s="8">
        <f t="shared" si="2"/>
        <v>143024769</v>
      </c>
      <c r="X22" s="8">
        <f t="shared" si="2"/>
        <v>142338239</v>
      </c>
      <c r="Y22" s="8">
        <f t="shared" si="2"/>
        <v>141666628</v>
      </c>
      <c r="Z22" s="8">
        <f t="shared" si="2"/>
        <v>141023673</v>
      </c>
      <c r="AA22" s="8">
        <f t="shared" si="2"/>
        <v>140411682</v>
      </c>
      <c r="AB22" s="8">
        <f t="shared" si="2"/>
        <v>139833556</v>
      </c>
      <c r="AC22" s="8">
        <f t="shared" si="2"/>
        <v>139292616</v>
      </c>
    </row>
    <row r="24" spans="1:30" x14ac:dyDescent="0.3">
      <c r="A24" s="3" t="s">
        <v>58</v>
      </c>
      <c r="B24" s="11"/>
      <c r="C24" s="11"/>
      <c r="D24" s="11"/>
      <c r="E24" s="11"/>
      <c r="F24" s="11"/>
      <c r="G24" s="11"/>
      <c r="H24" s="11"/>
      <c r="I24" s="12">
        <v>2010</v>
      </c>
      <c r="J24" s="13">
        <v>2011</v>
      </c>
      <c r="K24" s="13">
        <v>2012</v>
      </c>
      <c r="L24" s="12">
        <v>2013</v>
      </c>
      <c r="M24" s="13">
        <v>2014</v>
      </c>
      <c r="N24" s="13">
        <v>2015</v>
      </c>
      <c r="O24" s="12">
        <v>2016</v>
      </c>
      <c r="P24" s="13">
        <v>2017</v>
      </c>
      <c r="Q24" s="13">
        <v>2018</v>
      </c>
      <c r="R24" s="12">
        <v>2019</v>
      </c>
      <c r="S24" s="13">
        <v>2020</v>
      </c>
      <c r="T24" s="13">
        <v>2021</v>
      </c>
      <c r="U24" s="12">
        <v>2022</v>
      </c>
      <c r="V24" s="13">
        <v>2023</v>
      </c>
      <c r="W24" s="13">
        <v>2024</v>
      </c>
      <c r="X24" s="12">
        <v>2025</v>
      </c>
      <c r="Y24" s="13">
        <v>2026</v>
      </c>
      <c r="Z24" s="13">
        <v>2027</v>
      </c>
      <c r="AA24" s="12">
        <v>2028</v>
      </c>
      <c r="AB24" s="13">
        <v>2029</v>
      </c>
      <c r="AC24" s="13">
        <v>2030</v>
      </c>
    </row>
    <row r="25" spans="1:30" x14ac:dyDescent="0.3">
      <c r="A25" s="5" t="s">
        <v>0</v>
      </c>
      <c r="I25" s="9">
        <v>939973</v>
      </c>
      <c r="J25" s="9">
        <v>1016377</v>
      </c>
      <c r="K25" s="9">
        <v>1034693</v>
      </c>
      <c r="L25" s="9">
        <v>1074295</v>
      </c>
      <c r="M25" s="9">
        <v>1076399</v>
      </c>
      <c r="N25" s="9">
        <v>1005911</v>
      </c>
      <c r="O25" s="9">
        <v>1049370</v>
      </c>
      <c r="P25" s="9">
        <v>1404488</v>
      </c>
      <c r="Q25" s="9">
        <v>1787188</v>
      </c>
      <c r="R25" s="9">
        <v>2016476</v>
      </c>
      <c r="S25" s="9">
        <v>1859720</v>
      </c>
      <c r="T25" s="9">
        <v>2521213</v>
      </c>
      <c r="U25" s="9">
        <v>3164131</v>
      </c>
      <c r="V25" s="9">
        <v>4326635</v>
      </c>
      <c r="W25" s="9">
        <v>6442851</v>
      </c>
      <c r="X25" s="9">
        <v>6638559</v>
      </c>
    </row>
    <row r="26" spans="1:30" x14ac:dyDescent="0.3">
      <c r="A26" s="5" t="s">
        <v>1</v>
      </c>
      <c r="I26" s="9">
        <v>1144007</v>
      </c>
      <c r="J26" s="9">
        <v>1145954</v>
      </c>
      <c r="K26" s="9">
        <v>1238707</v>
      </c>
      <c r="L26" s="9">
        <v>1169057</v>
      </c>
      <c r="M26" s="9">
        <v>1361498</v>
      </c>
      <c r="N26" s="9">
        <v>1220497</v>
      </c>
      <c r="O26" s="9">
        <v>1232165</v>
      </c>
      <c r="P26" s="9">
        <v>1387372</v>
      </c>
      <c r="Q26" s="9">
        <v>1754727</v>
      </c>
      <c r="R26" s="9">
        <v>1830899</v>
      </c>
      <c r="S26" s="9">
        <v>893952</v>
      </c>
      <c r="T26" s="9">
        <v>1290705</v>
      </c>
      <c r="U26" s="9">
        <v>1335620</v>
      </c>
      <c r="V26" s="9">
        <v>2182214</v>
      </c>
      <c r="W26" s="9">
        <v>2168187</v>
      </c>
      <c r="X26" s="9">
        <v>2792403</v>
      </c>
    </row>
    <row r="27" spans="1:30" x14ac:dyDescent="0.3">
      <c r="A27" s="5" t="s">
        <v>2</v>
      </c>
      <c r="I27" s="9">
        <v>1471435</v>
      </c>
      <c r="J27" s="9">
        <v>1618800</v>
      </c>
      <c r="K27" s="9">
        <v>1739125</v>
      </c>
      <c r="L27" s="9">
        <v>1822582</v>
      </c>
      <c r="M27" s="9">
        <v>2000839</v>
      </c>
      <c r="N27" s="9">
        <v>1968885</v>
      </c>
      <c r="O27" s="9">
        <v>2086825</v>
      </c>
      <c r="P27" s="9">
        <v>2214656</v>
      </c>
      <c r="Q27" s="9">
        <v>2460343</v>
      </c>
      <c r="R27" s="9">
        <v>2491343</v>
      </c>
      <c r="S27" s="9">
        <v>890060</v>
      </c>
      <c r="T27" s="9">
        <v>981579</v>
      </c>
      <c r="U27" s="9">
        <v>1991799</v>
      </c>
      <c r="V27" s="9">
        <v>3034856</v>
      </c>
      <c r="W27" s="9">
        <v>3833041</v>
      </c>
      <c r="X27" s="9">
        <v>3838236</v>
      </c>
    </row>
    <row r="28" spans="1:30" x14ac:dyDescent="0.3">
      <c r="A28" s="7" t="s">
        <v>3</v>
      </c>
      <c r="I28" s="9">
        <v>272689</v>
      </c>
      <c r="J28" s="9">
        <v>300011</v>
      </c>
      <c r="K28" s="9">
        <v>286730</v>
      </c>
      <c r="L28" s="9">
        <v>401892</v>
      </c>
      <c r="M28" s="9">
        <v>468793</v>
      </c>
      <c r="N28" s="9">
        <v>564655</v>
      </c>
      <c r="O28" s="9">
        <v>660608</v>
      </c>
      <c r="P28" s="9">
        <v>868102</v>
      </c>
      <c r="Q28" s="9">
        <v>941372</v>
      </c>
      <c r="R28" s="9">
        <v>1067487</v>
      </c>
      <c r="S28" s="9">
        <v>613823</v>
      </c>
      <c r="T28" s="9">
        <v>907541</v>
      </c>
      <c r="U28" s="9">
        <v>1401164</v>
      </c>
      <c r="V28" s="9">
        <v>1393611</v>
      </c>
      <c r="W28" s="9">
        <v>1419154</v>
      </c>
      <c r="X28" s="9">
        <v>1884024</v>
      </c>
    </row>
    <row r="29" spans="1:30" x14ac:dyDescent="0.3">
      <c r="A29" s="5" t="s">
        <v>4</v>
      </c>
      <c r="I29" s="9">
        <v>2482073</v>
      </c>
      <c r="J29" s="9">
        <v>2496816</v>
      </c>
      <c r="K29" s="9">
        <v>2507896</v>
      </c>
      <c r="L29" s="9">
        <v>3076063</v>
      </c>
      <c r="M29" s="9">
        <v>3226687</v>
      </c>
      <c r="N29" s="9">
        <v>3409414</v>
      </c>
      <c r="O29" s="9">
        <v>4232071</v>
      </c>
      <c r="P29" s="9">
        <v>5355234</v>
      </c>
      <c r="Q29" s="9">
        <v>6078650</v>
      </c>
      <c r="R29" s="9">
        <v>5961213</v>
      </c>
      <c r="S29" s="9">
        <v>3562353</v>
      </c>
      <c r="T29" s="9">
        <v>3651665</v>
      </c>
      <c r="U29" s="9">
        <v>5004597</v>
      </c>
      <c r="V29" s="9">
        <v>5831305</v>
      </c>
      <c r="W29" s="9">
        <v>5988612</v>
      </c>
      <c r="X29" s="9">
        <v>6669189</v>
      </c>
    </row>
    <row r="30" spans="1:30" x14ac:dyDescent="0.3">
      <c r="A30" s="5" t="s">
        <v>5</v>
      </c>
      <c r="I30" s="9">
        <v>2421019</v>
      </c>
      <c r="J30" s="9">
        <v>2441660</v>
      </c>
      <c r="K30" s="9">
        <v>2593664</v>
      </c>
      <c r="L30" s="9">
        <v>3038151</v>
      </c>
      <c r="M30" s="9">
        <v>3245337</v>
      </c>
      <c r="N30" s="9">
        <v>3485300</v>
      </c>
      <c r="O30" s="9">
        <v>3919946</v>
      </c>
      <c r="P30" s="9">
        <v>4672442</v>
      </c>
      <c r="Q30" s="9">
        <v>5167248</v>
      </c>
      <c r="R30" s="9">
        <v>5679959</v>
      </c>
      <c r="S30" s="9">
        <v>1639083</v>
      </c>
      <c r="T30" s="9">
        <v>3010186</v>
      </c>
      <c r="U30" s="9">
        <v>5682655</v>
      </c>
      <c r="V30" s="9">
        <v>5907399</v>
      </c>
      <c r="W30" s="9">
        <v>7175672</v>
      </c>
      <c r="X30" s="9">
        <v>8024864</v>
      </c>
    </row>
    <row r="31" spans="1:30" x14ac:dyDescent="0.3">
      <c r="A31" s="5" t="s">
        <v>6</v>
      </c>
      <c r="I31" s="9">
        <v>6245306</v>
      </c>
      <c r="J31" s="9">
        <v>6494963</v>
      </c>
      <c r="K31" s="9">
        <v>6016434</v>
      </c>
      <c r="L31" s="9">
        <v>6144155</v>
      </c>
      <c r="M31" s="9">
        <v>6091940</v>
      </c>
      <c r="N31" s="9">
        <v>6666895</v>
      </c>
      <c r="O31" s="9">
        <v>7104327</v>
      </c>
      <c r="P31" s="9">
        <v>8226835</v>
      </c>
      <c r="Q31" s="9">
        <v>9265068</v>
      </c>
      <c r="R31" s="9">
        <v>9634047</v>
      </c>
      <c r="S31" s="9">
        <v>3116214</v>
      </c>
      <c r="T31" s="9">
        <v>3075645</v>
      </c>
      <c r="U31" s="9">
        <v>5917244</v>
      </c>
      <c r="V31" s="9">
        <v>8189106</v>
      </c>
      <c r="W31" s="9">
        <v>8852441</v>
      </c>
      <c r="X31" s="9">
        <v>10128232</v>
      </c>
    </row>
    <row r="32" spans="1:30" x14ac:dyDescent="0.3">
      <c r="A32" s="5" t="s">
        <v>7</v>
      </c>
      <c r="I32" s="9">
        <v>622568</v>
      </c>
      <c r="J32" s="9">
        <v>802435</v>
      </c>
      <c r="K32" s="9">
        <v>572009</v>
      </c>
      <c r="L32" s="9">
        <v>513089</v>
      </c>
      <c r="M32" s="9">
        <v>535804</v>
      </c>
      <c r="N32" s="9">
        <v>644357</v>
      </c>
      <c r="O32" s="9">
        <v>687670</v>
      </c>
      <c r="P32" s="9">
        <v>720429</v>
      </c>
      <c r="Q32" s="9">
        <v>761686</v>
      </c>
      <c r="R32" s="9">
        <v>971621</v>
      </c>
      <c r="S32" s="9">
        <v>648006</v>
      </c>
      <c r="T32" s="9">
        <v>710692</v>
      </c>
      <c r="U32" s="9">
        <v>1358718</v>
      </c>
      <c r="V32" s="9">
        <v>1338912</v>
      </c>
      <c r="W32" s="9">
        <v>1638731</v>
      </c>
      <c r="X32" s="9">
        <v>1687400</v>
      </c>
    </row>
    <row r="33" spans="1:25" x14ac:dyDescent="0.3">
      <c r="A33" s="5" t="s">
        <v>8</v>
      </c>
      <c r="I33" s="9">
        <v>685582</v>
      </c>
      <c r="J33" s="9">
        <v>777465</v>
      </c>
      <c r="K33" s="9">
        <v>871297</v>
      </c>
      <c r="L33" s="9">
        <v>1216478</v>
      </c>
      <c r="M33" s="9">
        <v>1255737</v>
      </c>
      <c r="N33" s="9">
        <v>1431545</v>
      </c>
      <c r="O33" s="9">
        <v>1710468</v>
      </c>
      <c r="P33" s="9">
        <v>2352669</v>
      </c>
      <c r="Q33" s="9">
        <v>2999332</v>
      </c>
      <c r="R33" s="9">
        <v>3168924</v>
      </c>
      <c r="S33" s="9">
        <v>1092691</v>
      </c>
      <c r="T33" s="9">
        <v>1844895</v>
      </c>
      <c r="U33" s="9">
        <v>2627910</v>
      </c>
      <c r="V33" s="9">
        <v>3599112</v>
      </c>
      <c r="W33" s="9">
        <v>4067594</v>
      </c>
      <c r="X33" s="9">
        <v>4646740</v>
      </c>
    </row>
    <row r="34" spans="1:25" x14ac:dyDescent="0.3">
      <c r="A34" s="5" t="s">
        <v>9</v>
      </c>
      <c r="I34" s="9">
        <v>4612786</v>
      </c>
      <c r="J34" s="9">
        <v>4807258</v>
      </c>
      <c r="K34" s="9">
        <v>4741493</v>
      </c>
      <c r="L34" s="9">
        <v>4965055</v>
      </c>
      <c r="M34" s="9">
        <v>5016466</v>
      </c>
      <c r="N34" s="9">
        <v>5757408</v>
      </c>
      <c r="O34" s="9">
        <v>6553382</v>
      </c>
      <c r="P34" s="9">
        <v>7248871</v>
      </c>
      <c r="Q34" s="9">
        <v>8273216</v>
      </c>
      <c r="R34" s="9">
        <v>8988876</v>
      </c>
      <c r="S34" s="9">
        <v>4781772</v>
      </c>
      <c r="T34" s="9">
        <v>3351127</v>
      </c>
      <c r="U34" s="9">
        <v>7364375</v>
      </c>
      <c r="V34" s="9">
        <v>8210485</v>
      </c>
      <c r="W34" s="9">
        <v>9627811</v>
      </c>
      <c r="X34" s="9">
        <v>10680110</v>
      </c>
    </row>
    <row r="35" spans="1:25" x14ac:dyDescent="0.3">
      <c r="A35" s="5" t="s">
        <v>10</v>
      </c>
      <c r="I35" s="9">
        <v>2673517</v>
      </c>
      <c r="J35" s="9">
        <v>2364348</v>
      </c>
      <c r="K35" s="9">
        <v>2237580</v>
      </c>
      <c r="L35" s="9">
        <v>2209696</v>
      </c>
      <c r="M35" s="9">
        <v>2069783</v>
      </c>
      <c r="N35" s="9">
        <v>2259944</v>
      </c>
      <c r="O35" s="9">
        <v>2212938</v>
      </c>
      <c r="P35" s="9">
        <v>2412074</v>
      </c>
      <c r="Q35" s="9">
        <v>2987354</v>
      </c>
      <c r="R35" s="9">
        <v>3513317</v>
      </c>
      <c r="S35" s="9">
        <v>1874928</v>
      </c>
      <c r="T35" s="9">
        <v>2071177</v>
      </c>
      <c r="U35" s="9">
        <v>3515684</v>
      </c>
      <c r="V35" s="9">
        <v>3970989</v>
      </c>
      <c r="W35" s="9">
        <v>4112539</v>
      </c>
      <c r="X35" s="9">
        <v>4107399</v>
      </c>
    </row>
    <row r="36" spans="1:25" x14ac:dyDescent="0.3">
      <c r="A36" s="5" t="s">
        <v>11</v>
      </c>
      <c r="I36" s="9">
        <v>1075485</v>
      </c>
      <c r="J36" s="9">
        <v>1214469</v>
      </c>
      <c r="K36" s="9">
        <v>1493956</v>
      </c>
      <c r="L36" s="9">
        <v>1626705</v>
      </c>
      <c r="M36" s="9">
        <v>1671397</v>
      </c>
      <c r="N36" s="9">
        <v>1908577</v>
      </c>
      <c r="O36" s="9">
        <v>2162034</v>
      </c>
      <c r="P36" s="9">
        <v>2402387</v>
      </c>
      <c r="Q36" s="9">
        <v>2867647</v>
      </c>
      <c r="R36" s="9">
        <v>2965985</v>
      </c>
      <c r="S36" s="9">
        <v>1663282</v>
      </c>
      <c r="T36" s="9">
        <v>1696151</v>
      </c>
      <c r="U36" s="9">
        <v>2815625</v>
      </c>
      <c r="V36" s="9">
        <v>2819864</v>
      </c>
      <c r="W36" s="9">
        <v>3241145</v>
      </c>
      <c r="X36" s="9">
        <v>3567206</v>
      </c>
    </row>
    <row r="37" spans="1:25" x14ac:dyDescent="0.3">
      <c r="A37" s="5" t="s">
        <v>40</v>
      </c>
      <c r="I37" s="9">
        <v>312223</v>
      </c>
      <c r="J37" s="9">
        <v>407924</v>
      </c>
      <c r="K37" s="9">
        <v>361774</v>
      </c>
      <c r="L37" s="9">
        <v>541120</v>
      </c>
      <c r="M37" s="9">
        <v>645467</v>
      </c>
      <c r="N37" s="9">
        <v>751985</v>
      </c>
      <c r="O37" s="9">
        <v>892729</v>
      </c>
      <c r="P37" s="9">
        <v>1042958</v>
      </c>
      <c r="Q37" s="9">
        <v>1210336</v>
      </c>
      <c r="R37" s="9">
        <v>1370640</v>
      </c>
      <c r="S37" s="9">
        <v>992162</v>
      </c>
      <c r="T37" s="9">
        <v>961507</v>
      </c>
      <c r="U37" s="9">
        <v>1395587</v>
      </c>
      <c r="V37" s="9">
        <v>1739090</v>
      </c>
      <c r="W37" s="9">
        <v>1725976</v>
      </c>
      <c r="X37" s="9">
        <v>1986275</v>
      </c>
    </row>
    <row r="38" spans="1:25" x14ac:dyDescent="0.3">
      <c r="A38" s="5" t="s">
        <v>12</v>
      </c>
      <c r="I38" s="9">
        <v>504974</v>
      </c>
      <c r="J38" s="9">
        <v>556608</v>
      </c>
      <c r="K38" s="9">
        <v>591051</v>
      </c>
      <c r="L38" s="9">
        <v>667231</v>
      </c>
      <c r="M38" s="9">
        <v>846904</v>
      </c>
      <c r="N38" s="9">
        <v>1278197</v>
      </c>
      <c r="O38" s="9">
        <v>1294134</v>
      </c>
      <c r="P38" s="9">
        <v>1612594</v>
      </c>
      <c r="Q38" s="9">
        <v>1631987</v>
      </c>
      <c r="R38" s="9">
        <v>1644814</v>
      </c>
      <c r="S38" s="9">
        <v>1156981</v>
      </c>
      <c r="T38" s="9">
        <v>1162433</v>
      </c>
      <c r="U38" s="9">
        <v>1073265</v>
      </c>
      <c r="V38" s="9">
        <v>1000749</v>
      </c>
      <c r="W38" s="9">
        <v>1389963</v>
      </c>
      <c r="X38" s="9">
        <v>3011977</v>
      </c>
    </row>
    <row r="39" spans="1:25" x14ac:dyDescent="0.3">
      <c r="A39" s="5" t="s">
        <v>13</v>
      </c>
      <c r="I39" s="9">
        <v>661703</v>
      </c>
      <c r="J39" s="9">
        <v>568853</v>
      </c>
      <c r="K39" s="9">
        <v>595244</v>
      </c>
      <c r="L39" s="9">
        <v>697090</v>
      </c>
      <c r="M39" s="9">
        <v>774467</v>
      </c>
      <c r="N39" s="9">
        <v>807961</v>
      </c>
      <c r="O39" s="9">
        <v>848389</v>
      </c>
      <c r="P39" s="9">
        <v>993160</v>
      </c>
      <c r="Q39" s="9">
        <v>1123199</v>
      </c>
      <c r="R39" s="9">
        <v>1240213</v>
      </c>
      <c r="S39" s="9">
        <v>526629</v>
      </c>
      <c r="T39" s="9">
        <v>957509</v>
      </c>
      <c r="U39" s="9">
        <v>1114323</v>
      </c>
      <c r="V39" s="9">
        <v>1177257</v>
      </c>
      <c r="W39" s="9">
        <v>1434712</v>
      </c>
      <c r="X39" s="9">
        <v>1656631</v>
      </c>
    </row>
    <row r="40" spans="1:25" x14ac:dyDescent="0.3">
      <c r="A40" s="5" t="s">
        <v>15</v>
      </c>
      <c r="I40" s="9">
        <v>8061978</v>
      </c>
      <c r="J40" s="9">
        <v>7995814</v>
      </c>
      <c r="K40" s="9">
        <v>9606928</v>
      </c>
      <c r="L40" s="9">
        <v>10173332</v>
      </c>
      <c r="M40" s="9">
        <v>10755003</v>
      </c>
      <c r="N40" s="9">
        <v>13012603</v>
      </c>
      <c r="O40" s="9">
        <v>14399446</v>
      </c>
      <c r="P40" s="9">
        <v>16728803</v>
      </c>
      <c r="Q40" s="9">
        <v>19784254</v>
      </c>
      <c r="R40" s="9">
        <v>21141749</v>
      </c>
      <c r="S40" s="9">
        <v>11594040</v>
      </c>
      <c r="T40" s="9">
        <v>10903630</v>
      </c>
      <c r="U40" s="9">
        <v>18962291</v>
      </c>
      <c r="V40" s="9">
        <v>22922617</v>
      </c>
      <c r="W40" s="9">
        <v>26003223</v>
      </c>
      <c r="X40" s="9">
        <v>29650944</v>
      </c>
    </row>
    <row r="41" spans="1:25" x14ac:dyDescent="0.3">
      <c r="A41" s="5" t="s">
        <v>16</v>
      </c>
      <c r="I41" s="9">
        <v>5683024</v>
      </c>
      <c r="J41" s="9">
        <v>5663848</v>
      </c>
      <c r="K41" s="9">
        <v>5647522</v>
      </c>
      <c r="L41" s="9">
        <v>5795780</v>
      </c>
      <c r="M41" s="9">
        <v>6346761</v>
      </c>
      <c r="N41" s="9">
        <v>7165813</v>
      </c>
      <c r="O41" s="9">
        <v>8980946</v>
      </c>
      <c r="P41" s="9">
        <v>11296525</v>
      </c>
      <c r="Q41" s="9">
        <v>11685783</v>
      </c>
      <c r="R41" s="9">
        <v>11854389</v>
      </c>
      <c r="S41" s="9">
        <v>7612988</v>
      </c>
      <c r="T41" s="9">
        <v>7899263</v>
      </c>
      <c r="U41" s="9">
        <v>11332878</v>
      </c>
      <c r="V41" s="9">
        <v>12192452</v>
      </c>
      <c r="W41" s="9">
        <v>12967339</v>
      </c>
      <c r="X41" s="9">
        <v>15311213</v>
      </c>
    </row>
    <row r="42" spans="1:25" x14ac:dyDescent="0.3">
      <c r="A42" s="5" t="s">
        <v>17</v>
      </c>
      <c r="I42" s="9">
        <v>2225912</v>
      </c>
      <c r="J42" s="9">
        <v>2374903</v>
      </c>
      <c r="K42" s="9">
        <v>2357498</v>
      </c>
      <c r="L42" s="9">
        <v>2836517</v>
      </c>
      <c r="M42" s="9">
        <v>3094858</v>
      </c>
      <c r="N42" s="9">
        <v>3099772</v>
      </c>
      <c r="O42" s="9">
        <v>3285839</v>
      </c>
      <c r="P42" s="9">
        <v>3594966</v>
      </c>
      <c r="Q42" s="9">
        <v>4014560</v>
      </c>
      <c r="R42" s="9">
        <v>4430614</v>
      </c>
      <c r="S42" s="9">
        <v>2408659</v>
      </c>
      <c r="T42" s="9">
        <v>3051686</v>
      </c>
      <c r="U42" s="9">
        <v>4532333</v>
      </c>
      <c r="V42" s="9">
        <v>5745376</v>
      </c>
      <c r="W42" s="9">
        <v>5985438</v>
      </c>
      <c r="X42" s="9">
        <v>6839550</v>
      </c>
      <c r="Y42" s="23"/>
    </row>
    <row r="43" spans="1:25" x14ac:dyDescent="0.3">
      <c r="A43" s="5" t="s">
        <v>52</v>
      </c>
      <c r="I43" s="9">
        <v>739760</v>
      </c>
      <c r="J43" s="9">
        <v>680703</v>
      </c>
      <c r="K43" s="9">
        <v>601124</v>
      </c>
      <c r="L43" s="9">
        <v>851092</v>
      </c>
      <c r="M43" s="9">
        <v>588856</v>
      </c>
      <c r="N43" s="9">
        <v>1126853</v>
      </c>
      <c r="O43" s="9">
        <v>1226137</v>
      </c>
      <c r="P43" s="9">
        <v>1309127</v>
      </c>
      <c r="Q43" s="9">
        <v>1498754</v>
      </c>
      <c r="R43" s="9">
        <v>1449304</v>
      </c>
      <c r="S43" s="9">
        <v>612873</v>
      </c>
      <c r="T43" s="9">
        <v>473047</v>
      </c>
      <c r="U43" s="9">
        <v>1053756</v>
      </c>
      <c r="V43" s="9">
        <v>1261206</v>
      </c>
      <c r="W43" s="9">
        <v>1383595</v>
      </c>
      <c r="X43" s="9">
        <v>1595487</v>
      </c>
    </row>
    <row r="44" spans="1:25" x14ac:dyDescent="0.3">
      <c r="A44" s="5" t="s">
        <v>19</v>
      </c>
      <c r="I44" s="9">
        <v>274200</v>
      </c>
      <c r="J44" s="9">
        <v>333612</v>
      </c>
      <c r="K44" s="9">
        <v>220415</v>
      </c>
      <c r="L44" s="9">
        <v>281764</v>
      </c>
      <c r="M44" s="9">
        <v>273434</v>
      </c>
      <c r="N44" s="9">
        <v>351672</v>
      </c>
      <c r="O44" s="9">
        <v>378903</v>
      </c>
      <c r="P44" s="9">
        <v>452821</v>
      </c>
      <c r="Q44" s="9">
        <v>631781</v>
      </c>
      <c r="R44" s="9">
        <v>655058</v>
      </c>
      <c r="S44" s="9">
        <v>157377</v>
      </c>
      <c r="T44" s="9">
        <v>184439</v>
      </c>
      <c r="U44" s="9">
        <v>439597</v>
      </c>
      <c r="V44" s="9">
        <v>538242</v>
      </c>
      <c r="W44" s="9">
        <v>655335</v>
      </c>
      <c r="X44" s="9">
        <v>779112</v>
      </c>
    </row>
    <row r="45" spans="1:25" x14ac:dyDescent="0.3">
      <c r="A45" s="5" t="s">
        <v>57</v>
      </c>
      <c r="I45" s="9">
        <f>SUM(I25:I44)</f>
        <v>43110214</v>
      </c>
      <c r="J45" s="9">
        <f t="shared" ref="J45:X45" si="3">SUM(J25:J44)</f>
        <v>44062821</v>
      </c>
      <c r="K45" s="9">
        <f t="shared" si="3"/>
        <v>45315140</v>
      </c>
      <c r="L45" s="9">
        <f t="shared" si="3"/>
        <v>49101144</v>
      </c>
      <c r="M45" s="9">
        <f t="shared" si="3"/>
        <v>51346430</v>
      </c>
      <c r="N45" s="9">
        <f t="shared" si="3"/>
        <v>57918244</v>
      </c>
      <c r="O45" s="9">
        <f t="shared" si="3"/>
        <v>64918327</v>
      </c>
      <c r="P45" s="9">
        <f t="shared" si="3"/>
        <v>76296513</v>
      </c>
      <c r="Q45" s="9">
        <f t="shared" si="3"/>
        <v>86924485</v>
      </c>
      <c r="R45" s="9">
        <f t="shared" si="3"/>
        <v>92076928</v>
      </c>
      <c r="S45" s="9">
        <f t="shared" si="3"/>
        <v>47697593</v>
      </c>
      <c r="T45" s="9">
        <f t="shared" si="3"/>
        <v>50706090</v>
      </c>
      <c r="U45" s="9">
        <f t="shared" si="3"/>
        <v>82083552</v>
      </c>
      <c r="V45" s="9">
        <f t="shared" si="3"/>
        <v>97381477</v>
      </c>
      <c r="W45" s="9">
        <f t="shared" si="3"/>
        <v>110113359</v>
      </c>
      <c r="X45" s="9">
        <f t="shared" si="3"/>
        <v>125495551</v>
      </c>
    </row>
    <row r="46" spans="1:25" x14ac:dyDescent="0.3">
      <c r="A46" s="5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 spans="1:25" x14ac:dyDescent="0.3">
      <c r="A47" s="3" t="s">
        <v>129</v>
      </c>
      <c r="B47" s="11"/>
      <c r="C47" s="11"/>
      <c r="D47" s="11"/>
      <c r="E47" s="11"/>
      <c r="F47" s="11"/>
      <c r="G47" s="11"/>
      <c r="H47" s="11"/>
      <c r="I47" s="24"/>
      <c r="J47" s="25">
        <f>J45/I45-1</f>
        <v>2.2097013946625221E-2</v>
      </c>
      <c r="K47" s="25">
        <f t="shared" ref="K47:X47" si="4">K45/J45-1</f>
        <v>2.8421217061885384E-2</v>
      </c>
      <c r="L47" s="25">
        <f t="shared" si="4"/>
        <v>8.3548324025921605E-2</v>
      </c>
      <c r="M47" s="25">
        <f t="shared" si="4"/>
        <v>4.5727773674682615E-2</v>
      </c>
      <c r="N47" s="25">
        <f t="shared" si="4"/>
        <v>0.1279896966546652</v>
      </c>
      <c r="O47" s="25">
        <f t="shared" si="4"/>
        <v>0.12086145084094735</v>
      </c>
      <c r="P47" s="25">
        <f t="shared" si="4"/>
        <v>0.17526924253608689</v>
      </c>
      <c r="Q47" s="25">
        <f t="shared" si="4"/>
        <v>0.13929826648827315</v>
      </c>
      <c r="R47" s="25">
        <f t="shared" si="4"/>
        <v>5.927493271889972E-2</v>
      </c>
      <c r="S47" s="25">
        <f t="shared" si="4"/>
        <v>-0.48198105610126352</v>
      </c>
      <c r="T47" s="25">
        <f t="shared" si="4"/>
        <v>6.3074398743768967E-2</v>
      </c>
      <c r="U47" s="25">
        <f t="shared" si="4"/>
        <v>0.61881052157640237</v>
      </c>
      <c r="V47" s="25">
        <f t="shared" si="4"/>
        <v>0.18637016341593005</v>
      </c>
      <c r="W47" s="25">
        <f t="shared" si="4"/>
        <v>0.13074233819641079</v>
      </c>
      <c r="X47" s="25">
        <f t="shared" si="4"/>
        <v>0.13969414919038114</v>
      </c>
    </row>
    <row r="49" spans="1:29" x14ac:dyDescent="0.3">
      <c r="A49" s="3" t="s">
        <v>59</v>
      </c>
      <c r="B49" s="11"/>
      <c r="C49" s="11"/>
      <c r="D49" s="11"/>
      <c r="E49" s="11"/>
      <c r="F49" s="11"/>
      <c r="G49" s="11"/>
      <c r="H49" s="11"/>
      <c r="I49" s="12">
        <v>2010</v>
      </c>
      <c r="J49" s="13">
        <v>2011</v>
      </c>
      <c r="K49" s="13">
        <v>2012</v>
      </c>
      <c r="L49" s="12">
        <v>2013</v>
      </c>
      <c r="M49" s="13">
        <v>2014</v>
      </c>
      <c r="N49" s="13">
        <v>2015</v>
      </c>
      <c r="O49" s="12">
        <v>2016</v>
      </c>
      <c r="P49" s="13">
        <v>2017</v>
      </c>
      <c r="Q49" s="13">
        <v>2018</v>
      </c>
      <c r="R49" s="12">
        <v>2019</v>
      </c>
      <c r="S49" s="13">
        <v>2020</v>
      </c>
      <c r="T49" s="13">
        <v>2021</v>
      </c>
      <c r="U49" s="12">
        <v>2022</v>
      </c>
      <c r="V49" s="13">
        <v>2023</v>
      </c>
      <c r="W49" s="13">
        <v>2024</v>
      </c>
      <c r="X49" s="12">
        <v>2025</v>
      </c>
      <c r="Y49" s="13">
        <v>2026</v>
      </c>
      <c r="Z49" s="13">
        <v>2027</v>
      </c>
      <c r="AA49" s="12">
        <v>2028</v>
      </c>
      <c r="AB49" s="13">
        <v>2029</v>
      </c>
      <c r="AC49" s="13">
        <v>2030</v>
      </c>
    </row>
    <row r="50" spans="1:29" x14ac:dyDescent="0.3">
      <c r="A50" s="3"/>
      <c r="B50" s="11"/>
      <c r="C50" s="11"/>
      <c r="D50" s="11"/>
      <c r="E50" s="11"/>
      <c r="F50" s="11"/>
      <c r="G50" s="11"/>
      <c r="H50" s="11"/>
      <c r="I50" s="12"/>
      <c r="J50" s="13"/>
      <c r="K50" s="13"/>
      <c r="L50" s="12"/>
      <c r="M50" s="13"/>
      <c r="N50" s="13"/>
      <c r="O50" s="12"/>
      <c r="P50" s="13"/>
      <c r="Q50" s="13"/>
      <c r="R50" s="12"/>
      <c r="S50" s="13"/>
      <c r="T50" s="13"/>
      <c r="U50" s="12"/>
      <c r="V50" s="13"/>
      <c r="W50" s="13"/>
      <c r="X50" s="12"/>
      <c r="Y50" s="13"/>
      <c r="Z50" s="13"/>
      <c r="AA50" s="12"/>
      <c r="AB50" s="13"/>
      <c r="AC50" s="13"/>
    </row>
    <row r="51" spans="1:29" x14ac:dyDescent="0.3">
      <c r="A51" s="3" t="s">
        <v>57</v>
      </c>
      <c r="B51" s="11"/>
      <c r="C51" s="11"/>
      <c r="D51" s="11"/>
      <c r="E51" s="11"/>
      <c r="F51" s="11"/>
      <c r="G51" s="11"/>
      <c r="H51" s="11"/>
      <c r="I51" s="26">
        <f>I45/I22</f>
        <v>0.29743771274004333</v>
      </c>
      <c r="J51" s="26">
        <f t="shared" ref="J51:X51" si="5">J45/J22</f>
        <v>0.30422441022544766</v>
      </c>
      <c r="K51" s="26">
        <f t="shared" si="5"/>
        <v>0.31310435985159807</v>
      </c>
      <c r="L51" s="26">
        <f t="shared" si="5"/>
        <v>0.33959909732098242</v>
      </c>
      <c r="M51" s="26">
        <f t="shared" si="5"/>
        <v>0.35553948465362045</v>
      </c>
      <c r="N51" s="26">
        <f t="shared" si="5"/>
        <v>0.40157169331824832</v>
      </c>
      <c r="O51" s="26">
        <f t="shared" si="5"/>
        <v>0.45078166770920136</v>
      </c>
      <c r="P51" s="26">
        <f t="shared" si="5"/>
        <v>0.53067224765562215</v>
      </c>
      <c r="Q51" s="26">
        <f t="shared" si="5"/>
        <v>0.60564839575522578</v>
      </c>
      <c r="R51" s="26">
        <f t="shared" si="5"/>
        <v>0.64269075173378565</v>
      </c>
      <c r="S51" s="26">
        <f t="shared" si="5"/>
        <v>0.33358427783419586</v>
      </c>
      <c r="T51" s="26">
        <f t="shared" si="5"/>
        <v>0.35542283575119521</v>
      </c>
      <c r="U51" s="26">
        <f t="shared" si="5"/>
        <v>0.57547421162971413</v>
      </c>
      <c r="V51" s="26">
        <f t="shared" si="5"/>
        <v>0.68303962922775252</v>
      </c>
      <c r="W51" s="26">
        <f t="shared" si="5"/>
        <v>0.76989013700137487</v>
      </c>
      <c r="X51" s="26">
        <f t="shared" si="5"/>
        <v>0.88167137574323928</v>
      </c>
      <c r="Y51" s="13"/>
      <c r="Z51" s="13"/>
      <c r="AA51" s="12"/>
      <c r="AB51" s="13"/>
      <c r="AC51" s="13"/>
    </row>
    <row r="52" spans="1:29" x14ac:dyDescent="0.3">
      <c r="A52" s="5" t="s">
        <v>0</v>
      </c>
      <c r="I52" s="10">
        <f>I25/I2</f>
        <v>0.31469303825438105</v>
      </c>
      <c r="J52" s="10">
        <f t="shared" ref="J52:X52" si="6">J25/J2</f>
        <v>0.33939566569505059</v>
      </c>
      <c r="K52" s="10">
        <f t="shared" si="6"/>
        <v>0.34456929213126558</v>
      </c>
      <c r="L52" s="10">
        <f t="shared" si="6"/>
        <v>0.35674211871202977</v>
      </c>
      <c r="M52" s="10">
        <f t="shared" si="6"/>
        <v>0.35639884524547805</v>
      </c>
      <c r="N52" s="10">
        <f t="shared" si="6"/>
        <v>0.33206295361468968</v>
      </c>
      <c r="O52" s="10">
        <f t="shared" si="6"/>
        <v>0.34534722309067944</v>
      </c>
      <c r="P52" s="10">
        <f t="shared" si="6"/>
        <v>0.46079199156689316</v>
      </c>
      <c r="Q52" s="10">
        <f t="shared" si="6"/>
        <v>0.58457945453712845</v>
      </c>
      <c r="R52" s="10">
        <f t="shared" si="6"/>
        <v>0.65766247049208026</v>
      </c>
      <c r="S52" s="10">
        <f t="shared" si="6"/>
        <v>0.60486980493914777</v>
      </c>
      <c r="T52" s="10">
        <f t="shared" si="6"/>
        <v>0.81792555786829169</v>
      </c>
      <c r="U52" s="10">
        <f t="shared" si="6"/>
        <v>1.0222227319483714</v>
      </c>
      <c r="V52" s="10">
        <f t="shared" si="6"/>
        <v>1.3949592809695317</v>
      </c>
      <c r="W52" s="10">
        <f t="shared" si="6"/>
        <v>2.0735898426185191</v>
      </c>
      <c r="X52" s="10">
        <f t="shared" si="6"/>
        <v>2.1334667039461634</v>
      </c>
    </row>
    <row r="53" spans="1:29" x14ac:dyDescent="0.3">
      <c r="A53" s="5" t="s">
        <v>1</v>
      </c>
      <c r="I53" s="10">
        <f t="shared" ref="I53:X53" si="7">I26/I3</f>
        <v>0.37240150626372898</v>
      </c>
      <c r="J53" s="10">
        <f t="shared" si="7"/>
        <v>0.37332866816655685</v>
      </c>
      <c r="K53" s="10">
        <f t="shared" si="7"/>
        <v>0.40388032011581293</v>
      </c>
      <c r="L53" s="10">
        <f t="shared" si="7"/>
        <v>0.3815321964511077</v>
      </c>
      <c r="M53" s="10">
        <f t="shared" si="7"/>
        <v>0.44484225638438607</v>
      </c>
      <c r="N53" s="10">
        <f t="shared" si="7"/>
        <v>0.39932737465408447</v>
      </c>
      <c r="O53" s="10">
        <f t="shared" si="7"/>
        <v>0.40382302335108561</v>
      </c>
      <c r="P53" s="10">
        <f t="shared" si="7"/>
        <v>0.45559441099096903</v>
      </c>
      <c r="Q53" s="10">
        <f t="shared" si="7"/>
        <v>0.57755157054285455</v>
      </c>
      <c r="R53" s="10">
        <f t="shared" si="7"/>
        <v>0.60419966683034743</v>
      </c>
      <c r="S53" s="10">
        <f t="shared" si="7"/>
        <v>0.29588087871410018</v>
      </c>
      <c r="T53" s="10">
        <f t="shared" si="7"/>
        <v>0.42863163194211518</v>
      </c>
      <c r="U53" s="10">
        <f t="shared" si="7"/>
        <v>0.44509450285194796</v>
      </c>
      <c r="V53" s="10">
        <f t="shared" si="7"/>
        <v>0.73005940602009101</v>
      </c>
      <c r="W53" s="10">
        <f t="shared" si="7"/>
        <v>0.72837022741130053</v>
      </c>
      <c r="X53" s="10">
        <f t="shared" si="7"/>
        <v>0.94215808764112197</v>
      </c>
    </row>
    <row r="54" spans="1:29" x14ac:dyDescent="0.3">
      <c r="A54" s="5" t="s">
        <v>2</v>
      </c>
      <c r="I54" s="10">
        <f t="shared" ref="I54:X54" si="8">I27/I4</f>
        <v>0.15819035994922634</v>
      </c>
      <c r="J54" s="10">
        <f t="shared" si="8"/>
        <v>0.1722626304912305</v>
      </c>
      <c r="K54" s="10">
        <f t="shared" si="8"/>
        <v>0.18318920114603524</v>
      </c>
      <c r="L54" s="10">
        <f t="shared" si="8"/>
        <v>0.1900471097507351</v>
      </c>
      <c r="M54" s="10">
        <f t="shared" si="8"/>
        <v>0.20656572591343778</v>
      </c>
      <c r="N54" s="10">
        <f t="shared" si="8"/>
        <v>0.20130142994730482</v>
      </c>
      <c r="O54" s="10">
        <f t="shared" si="8"/>
        <v>0.21137189024553912</v>
      </c>
      <c r="P54" s="10">
        <f t="shared" si="8"/>
        <v>0.22232385902538157</v>
      </c>
      <c r="Q54" s="10">
        <f t="shared" si="8"/>
        <v>0.24489514574007545</v>
      </c>
      <c r="R54" s="10">
        <f t="shared" si="8"/>
        <v>0.24598507606369455</v>
      </c>
      <c r="S54" s="10">
        <f t="shared" si="8"/>
        <v>8.7211108182496055E-2</v>
      </c>
      <c r="T54" s="10">
        <f t="shared" si="8"/>
        <v>9.5487515246129778E-2</v>
      </c>
      <c r="U54" s="10">
        <f t="shared" si="8"/>
        <v>0.18862693951642612</v>
      </c>
      <c r="V54" s="10">
        <f t="shared" si="8"/>
        <v>0.28617944198678874</v>
      </c>
      <c r="W54" s="10">
        <f t="shared" si="8"/>
        <v>0.35990187638042676</v>
      </c>
      <c r="X54" s="10">
        <f t="shared" si="8"/>
        <v>0.3589024879445914</v>
      </c>
    </row>
    <row r="55" spans="1:29" x14ac:dyDescent="0.3">
      <c r="A55" s="7" t="s">
        <v>3</v>
      </c>
      <c r="I55" s="10">
        <f t="shared" ref="I55:X55" si="9">I28/I5</f>
        <v>7.0192043602677959E-2</v>
      </c>
      <c r="J55" s="10">
        <f t="shared" si="9"/>
        <v>7.7275440009540591E-2</v>
      </c>
      <c r="K55" s="10">
        <f t="shared" si="9"/>
        <v>7.3912895535684822E-2</v>
      </c>
      <c r="L55" s="10">
        <f t="shared" si="9"/>
        <v>0.10369471708891477</v>
      </c>
      <c r="M55" s="10">
        <f t="shared" si="9"/>
        <v>0.12108373628456963</v>
      </c>
      <c r="N55" s="10">
        <f t="shared" si="9"/>
        <v>0.14601680089887525</v>
      </c>
      <c r="O55" s="10">
        <f t="shared" si="9"/>
        <v>0.17105723796917174</v>
      </c>
      <c r="P55" s="10">
        <f t="shared" si="9"/>
        <v>0.22511961964440985</v>
      </c>
      <c r="Q55" s="10">
        <f t="shared" si="9"/>
        <v>0.24451913054161792</v>
      </c>
      <c r="R55" s="10">
        <f t="shared" si="9"/>
        <v>0.27777172064697792</v>
      </c>
      <c r="S55" s="10">
        <f t="shared" si="9"/>
        <v>0.16003369498167946</v>
      </c>
      <c r="T55" s="10">
        <f t="shared" si="9"/>
        <v>0.23711281487877747</v>
      </c>
      <c r="U55" s="10">
        <f t="shared" si="9"/>
        <v>0.36713718135056606</v>
      </c>
      <c r="V55" s="10">
        <f t="shared" si="9"/>
        <v>0.3659919574847601</v>
      </c>
      <c r="W55" s="10">
        <f t="shared" si="9"/>
        <v>0.3735922379168925</v>
      </c>
      <c r="X55" s="10">
        <f t="shared" si="9"/>
        <v>0.49722504979444865</v>
      </c>
    </row>
    <row r="56" spans="1:29" x14ac:dyDescent="0.3">
      <c r="A56" s="5" t="s">
        <v>4</v>
      </c>
      <c r="I56" s="10">
        <f t="shared" ref="I56:X56" si="10">I29/I6</f>
        <v>0.33582011503327186</v>
      </c>
      <c r="J56" s="10">
        <f t="shared" si="10"/>
        <v>0.33967956482984024</v>
      </c>
      <c r="K56" s="10">
        <f t="shared" si="10"/>
        <v>0.34314253607353407</v>
      </c>
      <c r="L56" s="10">
        <f t="shared" si="10"/>
        <v>0.4232360355263326</v>
      </c>
      <c r="M56" s="10">
        <f t="shared" si="10"/>
        <v>0.446403612083424</v>
      </c>
      <c r="N56" s="10">
        <f t="shared" si="10"/>
        <v>0.47439331572071547</v>
      </c>
      <c r="O56" s="10">
        <f t="shared" si="10"/>
        <v>0.59234101362235503</v>
      </c>
      <c r="P56" s="10">
        <f t="shared" si="10"/>
        <v>0.75409793128503655</v>
      </c>
      <c r="Q56" s="10">
        <f t="shared" si="10"/>
        <v>0.86130308959088087</v>
      </c>
      <c r="R56" s="10">
        <f t="shared" si="10"/>
        <v>0.85006687923520952</v>
      </c>
      <c r="S56" s="10">
        <f t="shared" si="10"/>
        <v>0.51132548354727114</v>
      </c>
      <c r="T56" s="10">
        <f t="shared" si="10"/>
        <v>0.52767323452761905</v>
      </c>
      <c r="U56" s="10">
        <f t="shared" si="10"/>
        <v>0.72812640535711404</v>
      </c>
      <c r="V56" s="10">
        <f t="shared" si="10"/>
        <v>0.85406128766548672</v>
      </c>
      <c r="W56" s="10">
        <f t="shared" si="10"/>
        <v>0.88292983621909937</v>
      </c>
      <c r="X56" s="10">
        <f t="shared" si="10"/>
        <v>0.98978806312914658</v>
      </c>
    </row>
    <row r="57" spans="1:29" x14ac:dyDescent="0.3">
      <c r="A57" s="5" t="s">
        <v>5</v>
      </c>
      <c r="I57" s="10">
        <f t="shared" ref="I57:X57" si="11">I30/I7</f>
        <v>0.54805494088817708</v>
      </c>
      <c r="J57" s="10">
        <f t="shared" si="11"/>
        <v>0.55445950156187696</v>
      </c>
      <c r="K57" s="10">
        <f t="shared" si="11"/>
        <v>0.59084495395413961</v>
      </c>
      <c r="L57" s="10">
        <f t="shared" si="11"/>
        <v>0.69440911875222844</v>
      </c>
      <c r="M57" s="10">
        <f t="shared" si="11"/>
        <v>0.7448989475636415</v>
      </c>
      <c r="N57" s="10">
        <f t="shared" si="11"/>
        <v>0.80393791872967979</v>
      </c>
      <c r="O57" s="10">
        <f t="shared" si="11"/>
        <v>0.90867567736098398</v>
      </c>
      <c r="P57" s="10">
        <f t="shared" si="11"/>
        <v>1.0884706407461842</v>
      </c>
      <c r="Q57" s="10">
        <f t="shared" si="11"/>
        <v>1.2096912052623607</v>
      </c>
      <c r="R57" s="10">
        <f t="shared" si="11"/>
        <v>1.3363021570378109</v>
      </c>
      <c r="S57" s="10">
        <f t="shared" si="11"/>
        <v>0.38752809081742062</v>
      </c>
      <c r="T57" s="10">
        <f t="shared" si="11"/>
        <v>0.71518301495400427</v>
      </c>
      <c r="U57" s="10">
        <f t="shared" si="11"/>
        <v>1.3566136123659627</v>
      </c>
      <c r="V57" s="10">
        <f t="shared" si="11"/>
        <v>1.4169010219850673</v>
      </c>
      <c r="W57" s="10">
        <f t="shared" si="11"/>
        <v>1.7290292608688529</v>
      </c>
      <c r="X57" s="10">
        <f t="shared" si="11"/>
        <v>1.9423571248076974</v>
      </c>
    </row>
    <row r="58" spans="1:29" x14ac:dyDescent="0.3">
      <c r="A58" s="5" t="s">
        <v>6</v>
      </c>
      <c r="I58" s="10">
        <f t="shared" ref="I58:X58" si="12">I31/I8</f>
        <v>0.59192242243921511</v>
      </c>
      <c r="J58" s="10">
        <f t="shared" si="12"/>
        <v>0.61428417941096858</v>
      </c>
      <c r="K58" s="10">
        <f t="shared" si="12"/>
        <v>0.56823606314105524</v>
      </c>
      <c r="L58" s="10">
        <f t="shared" si="12"/>
        <v>0.58010824637436775</v>
      </c>
      <c r="M58" s="10">
        <f t="shared" si="12"/>
        <v>0.57457754175725884</v>
      </c>
      <c r="N58" s="10">
        <f t="shared" si="12"/>
        <v>0.62757991226921583</v>
      </c>
      <c r="O58" s="10">
        <f t="shared" si="12"/>
        <v>0.66748328761352171</v>
      </c>
      <c r="P58" s="10">
        <f t="shared" si="12"/>
        <v>0.77091219755239138</v>
      </c>
      <c r="Q58" s="10">
        <f t="shared" si="12"/>
        <v>0.86532414300149374</v>
      </c>
      <c r="R58" s="10">
        <f t="shared" si="12"/>
        <v>0.89627462673237202</v>
      </c>
      <c r="S58" s="10">
        <f t="shared" si="12"/>
        <v>0.28910551552434538</v>
      </c>
      <c r="T58" s="10">
        <f t="shared" si="12"/>
        <v>0.28484788145404027</v>
      </c>
      <c r="U58" s="10">
        <f t="shared" si="12"/>
        <v>0.54704473970267953</v>
      </c>
      <c r="V58" s="10">
        <f t="shared" si="12"/>
        <v>0.75612137377599298</v>
      </c>
      <c r="W58" s="10">
        <f t="shared" si="12"/>
        <v>0.81680483931835435</v>
      </c>
      <c r="X58" s="10">
        <f t="shared" si="12"/>
        <v>0.93445055187876258</v>
      </c>
    </row>
    <row r="59" spans="1:29" x14ac:dyDescent="0.3">
      <c r="A59" s="5" t="s">
        <v>7</v>
      </c>
      <c r="I59" s="10">
        <f t="shared" ref="I59:X59" si="13">I32/I9</f>
        <v>0.4778629692428023</v>
      </c>
      <c r="J59" s="10">
        <f t="shared" si="13"/>
        <v>0.61857287340160161</v>
      </c>
      <c r="K59" s="10">
        <f t="shared" si="13"/>
        <v>0.44380727894555533</v>
      </c>
      <c r="L59" s="10">
        <f t="shared" si="13"/>
        <v>0.4009366067423808</v>
      </c>
      <c r="M59" s="10">
        <f t="shared" si="13"/>
        <v>0.42109945590709791</v>
      </c>
      <c r="N59" s="10">
        <f t="shared" si="13"/>
        <v>0.5092704632662981</v>
      </c>
      <c r="O59" s="10">
        <f t="shared" si="13"/>
        <v>0.54651935352610559</v>
      </c>
      <c r="P59" s="10">
        <f t="shared" si="13"/>
        <v>0.57578031716194245</v>
      </c>
      <c r="Q59" s="10">
        <f t="shared" si="13"/>
        <v>0.61234192734084203</v>
      </c>
      <c r="R59" s="10">
        <f t="shared" si="13"/>
        <v>0.78594025656560595</v>
      </c>
      <c r="S59" s="10">
        <f t="shared" si="13"/>
        <v>0.52756501690146351</v>
      </c>
      <c r="T59" s="10">
        <f t="shared" si="13"/>
        <v>0.58251437245603022</v>
      </c>
      <c r="U59" s="10">
        <f t="shared" si="13"/>
        <v>1.1214949105424243</v>
      </c>
      <c r="V59" s="10">
        <f t="shared" si="13"/>
        <v>1.1131977897539165</v>
      </c>
      <c r="W59" s="10">
        <f t="shared" si="13"/>
        <v>1.3727118063379604</v>
      </c>
      <c r="X59" s="10">
        <f t="shared" si="13"/>
        <v>1.4243809379101933</v>
      </c>
    </row>
    <row r="60" spans="1:29" x14ac:dyDescent="0.3">
      <c r="A60" s="5" t="s">
        <v>8</v>
      </c>
      <c r="I60" s="10">
        <f t="shared" ref="I60:X60" si="14">I33/I10</f>
        <v>0.13983082392010179</v>
      </c>
      <c r="J60" s="10">
        <f t="shared" si="14"/>
        <v>0.15743448203242386</v>
      </c>
      <c r="K60" s="10">
        <f t="shared" si="14"/>
        <v>0.17601003097003415</v>
      </c>
      <c r="L60" s="10">
        <f t="shared" si="14"/>
        <v>0.24614308162547616</v>
      </c>
      <c r="M60" s="10">
        <f t="shared" si="14"/>
        <v>0.2544094893544</v>
      </c>
      <c r="N60" s="10">
        <f t="shared" si="14"/>
        <v>0.29030069258315694</v>
      </c>
      <c r="O60" s="10">
        <f t="shared" si="14"/>
        <v>0.3470842550870456</v>
      </c>
      <c r="P60" s="10">
        <f t="shared" si="14"/>
        <v>0.47755888218042697</v>
      </c>
      <c r="Q60" s="10">
        <f t="shared" si="14"/>
        <v>0.60883959978961932</v>
      </c>
      <c r="R60" s="10">
        <f t="shared" si="14"/>
        <v>0.64307935452684739</v>
      </c>
      <c r="S60" s="10">
        <f t="shared" si="14"/>
        <v>0.22161128367066105</v>
      </c>
      <c r="T60" s="10">
        <f t="shared" si="14"/>
        <v>0.37393938067249682</v>
      </c>
      <c r="U60" s="10">
        <f t="shared" si="14"/>
        <v>0.53244867104121596</v>
      </c>
      <c r="V60" s="10">
        <f t="shared" si="14"/>
        <v>0.73045371555771321</v>
      </c>
      <c r="W60" s="10">
        <f t="shared" si="14"/>
        <v>0.82995845100583332</v>
      </c>
      <c r="X60" s="10">
        <f t="shared" si="14"/>
        <v>0.95265723619225773</v>
      </c>
    </row>
    <row r="61" spans="1:29" x14ac:dyDescent="0.3">
      <c r="A61" s="5" t="s">
        <v>9</v>
      </c>
      <c r="I61" s="10">
        <f t="shared" ref="I61:X61" si="15">I34/I11</f>
        <v>0.46176506950071899</v>
      </c>
      <c r="J61" s="10">
        <f t="shared" si="15"/>
        <v>0.48214668628448037</v>
      </c>
      <c r="K61" s="10">
        <f t="shared" si="15"/>
        <v>0.47650480620853064</v>
      </c>
      <c r="L61" s="10">
        <f t="shared" si="15"/>
        <v>0.50002920581336685</v>
      </c>
      <c r="M61" s="10">
        <f t="shared" si="15"/>
        <v>0.50633429352286408</v>
      </c>
      <c r="N61" s="10">
        <f t="shared" si="15"/>
        <v>0.5824783857356427</v>
      </c>
      <c r="O61" s="10">
        <f t="shared" si="15"/>
        <v>0.66461637755392833</v>
      </c>
      <c r="P61" s="10">
        <f t="shared" si="15"/>
        <v>0.73699729210440112</v>
      </c>
      <c r="Q61" s="10">
        <f t="shared" si="15"/>
        <v>0.84333363845998432</v>
      </c>
      <c r="R61" s="10">
        <f t="shared" si="15"/>
        <v>0.91875972982428844</v>
      </c>
      <c r="S61" s="10">
        <f t="shared" si="15"/>
        <v>0.49011643639047192</v>
      </c>
      <c r="T61" s="10">
        <f t="shared" si="15"/>
        <v>0.34447069422039966</v>
      </c>
      <c r="U61" s="10">
        <f t="shared" si="15"/>
        <v>0.75924702695797974</v>
      </c>
      <c r="V61" s="10">
        <f t="shared" si="15"/>
        <v>0.83053033259510523</v>
      </c>
      <c r="W61" s="10">
        <f t="shared" si="15"/>
        <v>0.97687298119015864</v>
      </c>
      <c r="X61" s="10">
        <f t="shared" si="15"/>
        <v>1.0867625443209865</v>
      </c>
    </row>
    <row r="62" spans="1:29" x14ac:dyDescent="0.3">
      <c r="A62" s="5" t="s">
        <v>10</v>
      </c>
      <c r="I62" s="10">
        <f t="shared" ref="I62:X62" si="16">I35/I12</f>
        <v>1.26387165366875</v>
      </c>
      <c r="J62" s="10">
        <f t="shared" si="16"/>
        <v>1.1386255576108371</v>
      </c>
      <c r="K62" s="10">
        <f t="shared" si="16"/>
        <v>1.0909154732843742</v>
      </c>
      <c r="L62" s="10">
        <f t="shared" si="16"/>
        <v>1.0888259264916751</v>
      </c>
      <c r="M62" s="10">
        <f t="shared" si="16"/>
        <v>1.0309152598427864</v>
      </c>
      <c r="N62" s="10">
        <f t="shared" si="16"/>
        <v>1.1375268848054354</v>
      </c>
      <c r="O62" s="10">
        <f t="shared" si="16"/>
        <v>1.1256913047193882</v>
      </c>
      <c r="P62" s="10">
        <f t="shared" si="16"/>
        <v>1.2400911428744761</v>
      </c>
      <c r="Q62" s="10">
        <f t="shared" si="16"/>
        <v>1.5523713859157828</v>
      </c>
      <c r="R62" s="10">
        <f t="shared" si="16"/>
        <v>1.8454718319107026</v>
      </c>
      <c r="S62" s="10">
        <f t="shared" si="16"/>
        <v>0.99561487819047079</v>
      </c>
      <c r="T62" s="10">
        <f t="shared" si="16"/>
        <v>1.1119297015547969</v>
      </c>
      <c r="U62" s="10">
        <f t="shared" si="16"/>
        <v>1.9083890901550624</v>
      </c>
      <c r="V62" s="10">
        <f t="shared" si="16"/>
        <v>2.1797661589131332</v>
      </c>
      <c r="W62" s="10">
        <f t="shared" si="16"/>
        <v>2.2831634324239998</v>
      </c>
      <c r="X62" s="10">
        <f t="shared" si="16"/>
        <v>2.3065686175410223</v>
      </c>
    </row>
    <row r="63" spans="1:29" x14ac:dyDescent="0.3">
      <c r="A63" s="5" t="s">
        <v>11</v>
      </c>
      <c r="I63" s="10">
        <f t="shared" ref="I63:X63" si="17">I36/I13</f>
        <v>0.34819166057201356</v>
      </c>
      <c r="J63" s="10">
        <f t="shared" si="17"/>
        <v>0.40280748561116358</v>
      </c>
      <c r="K63" s="10">
        <f t="shared" si="17"/>
        <v>0.50248103111875286</v>
      </c>
      <c r="L63" s="10">
        <f t="shared" si="17"/>
        <v>0.55266977377539528</v>
      </c>
      <c r="M63" s="10">
        <f t="shared" si="17"/>
        <v>0.57348841406527984</v>
      </c>
      <c r="N63" s="10">
        <f t="shared" si="17"/>
        <v>0.66163621564206454</v>
      </c>
      <c r="O63" s="10">
        <f t="shared" si="17"/>
        <v>0.75724299237270054</v>
      </c>
      <c r="P63" s="10">
        <f t="shared" si="17"/>
        <v>0.85011960621952343</v>
      </c>
      <c r="Q63" s="10">
        <f t="shared" si="17"/>
        <v>1.0252574006025021</v>
      </c>
      <c r="R63" s="10">
        <f t="shared" si="17"/>
        <v>1.0714121869237201</v>
      </c>
      <c r="S63" s="10">
        <f t="shared" si="17"/>
        <v>0.60707799355869152</v>
      </c>
      <c r="T63" s="10">
        <f t="shared" si="17"/>
        <v>0.62552451240353357</v>
      </c>
      <c r="U63" s="10">
        <f t="shared" si="17"/>
        <v>1.049218086814983</v>
      </c>
      <c r="V63" s="10">
        <f t="shared" si="17"/>
        <v>1.0617937272075173</v>
      </c>
      <c r="W63" s="10">
        <f t="shared" si="17"/>
        <v>1.2332251218140573</v>
      </c>
      <c r="X63" s="10">
        <f t="shared" si="17"/>
        <v>1.3715602432754366</v>
      </c>
    </row>
    <row r="64" spans="1:29" x14ac:dyDescent="0.3">
      <c r="A64" s="5" t="s">
        <v>40</v>
      </c>
      <c r="I64" s="10">
        <f t="shared" ref="I64:X64" si="18">I37/I14</f>
        <v>0.15068052194744813</v>
      </c>
      <c r="J64" s="10">
        <f t="shared" si="18"/>
        <v>0.19636956705922223</v>
      </c>
      <c r="K64" s="10">
        <f t="shared" si="18"/>
        <v>0.17373185360910884</v>
      </c>
      <c r="L64" s="10">
        <f t="shared" si="18"/>
        <v>0.25926002229812506</v>
      </c>
      <c r="M64" s="10">
        <f t="shared" si="18"/>
        <v>0.30858208009775689</v>
      </c>
      <c r="N64" s="10">
        <f t="shared" si="18"/>
        <v>0.35876890194011019</v>
      </c>
      <c r="O64" s="10">
        <f t="shared" si="18"/>
        <v>0.42510398685729933</v>
      </c>
      <c r="P64" s="10">
        <f t="shared" si="18"/>
        <v>0.49576821260994208</v>
      </c>
      <c r="Q64" s="10">
        <f t="shared" si="18"/>
        <v>0.57441088211187841</v>
      </c>
      <c r="R64" s="10">
        <f t="shared" si="18"/>
        <v>0.64955763032595881</v>
      </c>
      <c r="S64" s="10">
        <f t="shared" si="18"/>
        <v>0.46960157593760621</v>
      </c>
      <c r="T64" s="10">
        <f t="shared" si="18"/>
        <v>0.45460722032994361</v>
      </c>
      <c r="U64" s="10">
        <f t="shared" si="18"/>
        <v>0.65927689556864111</v>
      </c>
      <c r="V64" s="10">
        <f t="shared" si="18"/>
        <v>0.82101791510953581</v>
      </c>
      <c r="W64" s="10">
        <f t="shared" si="18"/>
        <v>0.81448501038883947</v>
      </c>
      <c r="X64" s="10">
        <f t="shared" si="18"/>
        <v>0.93713833049226924</v>
      </c>
    </row>
    <row r="65" spans="1:29" x14ac:dyDescent="0.3">
      <c r="A65" s="5" t="s">
        <v>12</v>
      </c>
      <c r="I65" s="10">
        <f t="shared" ref="I65:X65" si="19">I38/I15</f>
        <v>0.12880550591541048</v>
      </c>
      <c r="J65" s="10">
        <f t="shared" si="19"/>
        <v>0.14220594374489345</v>
      </c>
      <c r="K65" s="10">
        <f t="shared" si="19"/>
        <v>0.1512455957679453</v>
      </c>
      <c r="L65" s="10">
        <f t="shared" si="19"/>
        <v>0.1710199280734675</v>
      </c>
      <c r="M65" s="10">
        <f t="shared" si="19"/>
        <v>0.2182164669300162</v>
      </c>
      <c r="N65" s="10">
        <f t="shared" si="19"/>
        <v>0.33220251145896035</v>
      </c>
      <c r="O65" s="10">
        <f t="shared" si="19"/>
        <v>0.34039532270554174</v>
      </c>
      <c r="P65" s="10">
        <f t="shared" si="19"/>
        <v>0.43111746083008201</v>
      </c>
      <c r="Q65" s="10">
        <f t="shared" si="19"/>
        <v>0.44342339718282614</v>
      </c>
      <c r="R65" s="10">
        <f t="shared" si="19"/>
        <v>0.45354285982148518</v>
      </c>
      <c r="S65" s="10">
        <f t="shared" si="19"/>
        <v>0.32253164458157452</v>
      </c>
      <c r="T65" s="10">
        <f t="shared" si="19"/>
        <v>0.32621008466797197</v>
      </c>
      <c r="U65" s="10">
        <f t="shared" si="19"/>
        <v>0.29878566516985933</v>
      </c>
      <c r="V65" s="10">
        <f t="shared" si="19"/>
        <v>0.27641953276420639</v>
      </c>
      <c r="W65" s="10">
        <f t="shared" si="19"/>
        <v>0.38615146208058387</v>
      </c>
      <c r="X65" s="10">
        <f t="shared" si="19"/>
        <v>0.84158589299036302</v>
      </c>
    </row>
    <row r="66" spans="1:29" x14ac:dyDescent="0.3">
      <c r="A66" s="5" t="s">
        <v>13</v>
      </c>
      <c r="I66" s="10">
        <f t="shared" ref="I66:X66" si="20">I39/I16</f>
        <v>1.0628862120976046</v>
      </c>
      <c r="J66" s="10">
        <f t="shared" si="20"/>
        <v>0.91391844584075721</v>
      </c>
      <c r="K66" s="10">
        <f t="shared" si="20"/>
        <v>0.95686239207560453</v>
      </c>
      <c r="L66" s="10">
        <f t="shared" si="20"/>
        <v>1.1214392465930827</v>
      </c>
      <c r="M66" s="10">
        <f t="shared" si="20"/>
        <v>1.2473357094654991</v>
      </c>
      <c r="N66" s="10">
        <f t="shared" si="20"/>
        <v>1.3037453830178967</v>
      </c>
      <c r="O66" s="10">
        <f t="shared" si="20"/>
        <v>1.3725179008810502</v>
      </c>
      <c r="P66" s="10">
        <f t="shared" si="20"/>
        <v>1.6115297492714398</v>
      </c>
      <c r="Q66" s="10">
        <f t="shared" si="20"/>
        <v>1.8286323179140027</v>
      </c>
      <c r="R66" s="10">
        <f t="shared" si="20"/>
        <v>2.0262799315104303</v>
      </c>
      <c r="S66" s="10">
        <f t="shared" si="20"/>
        <v>0.86362920762365813</v>
      </c>
      <c r="T66" s="10">
        <f t="shared" si="20"/>
        <v>1.5763696589146776</v>
      </c>
      <c r="U66" s="10">
        <f t="shared" si="20"/>
        <v>1.8419597134384411</v>
      </c>
      <c r="V66" s="10">
        <f t="shared" si="20"/>
        <v>1.9541319124567389</v>
      </c>
      <c r="W66" s="10">
        <f t="shared" si="20"/>
        <v>2.3917886001310329</v>
      </c>
      <c r="X66" s="10">
        <f t="shared" si="20"/>
        <v>2.7741177613224957</v>
      </c>
    </row>
    <row r="67" spans="1:29" x14ac:dyDescent="0.3">
      <c r="A67" s="5" t="s">
        <v>15</v>
      </c>
      <c r="I67" s="10">
        <f t="shared" ref="I67:X67" si="21">I40/I17</f>
        <v>0.20877086014890825</v>
      </c>
      <c r="J67" s="10">
        <f t="shared" si="21"/>
        <v>0.20697490596090207</v>
      </c>
      <c r="K67" s="10">
        <f t="shared" si="21"/>
        <v>0.2486771632150318</v>
      </c>
      <c r="L67" s="10">
        <f t="shared" si="21"/>
        <v>0.26343130855963526</v>
      </c>
      <c r="M67" s="10">
        <f t="shared" si="21"/>
        <v>0.27868365270911527</v>
      </c>
      <c r="N67" s="10">
        <f t="shared" si="21"/>
        <v>0.33747176119600547</v>
      </c>
      <c r="O67" s="10">
        <f t="shared" si="21"/>
        <v>0.37383169854422776</v>
      </c>
      <c r="P67" s="10">
        <f t="shared" si="21"/>
        <v>0.43485543713337965</v>
      </c>
      <c r="Q67" s="10">
        <f t="shared" si="21"/>
        <v>0.51504915305778787</v>
      </c>
      <c r="R67" s="10">
        <f t="shared" si="21"/>
        <v>0.55134327169500374</v>
      </c>
      <c r="S67" s="10">
        <f t="shared" si="21"/>
        <v>0.30295143815469189</v>
      </c>
      <c r="T67" s="10">
        <f t="shared" si="21"/>
        <v>0.28554063903094318</v>
      </c>
      <c r="U67" s="10">
        <f t="shared" si="21"/>
        <v>0.49778806403815745</v>
      </c>
      <c r="V67" s="10">
        <f t="shared" si="21"/>
        <v>0.60335750120170772</v>
      </c>
      <c r="W67" s="10">
        <f t="shared" si="21"/>
        <v>0.67111482357932928</v>
      </c>
      <c r="X67" s="10">
        <f t="shared" si="21"/>
        <v>0.77287090034038863</v>
      </c>
    </row>
    <row r="68" spans="1:29" x14ac:dyDescent="0.3">
      <c r="A68" s="5" t="s">
        <v>16</v>
      </c>
      <c r="I68" s="10">
        <f t="shared" ref="I68:X68" si="22">I41/I18</f>
        <v>0.25879830839611395</v>
      </c>
      <c r="J68" s="10">
        <f t="shared" si="22"/>
        <v>0.25856946348729082</v>
      </c>
      <c r="K68" s="10">
        <f t="shared" si="22"/>
        <v>0.25848552376858386</v>
      </c>
      <c r="L68" s="10">
        <f t="shared" si="22"/>
        <v>0.2659776317904714</v>
      </c>
      <c r="M68" s="10">
        <f t="shared" si="22"/>
        <v>0.29207541084804417</v>
      </c>
      <c r="N68" s="10">
        <f t="shared" si="22"/>
        <v>0.33073466458355932</v>
      </c>
      <c r="O68" s="10">
        <f t="shared" si="22"/>
        <v>0.41578961891015703</v>
      </c>
      <c r="P68" s="10">
        <f t="shared" si="22"/>
        <v>0.52468844935990844</v>
      </c>
      <c r="Q68" s="10">
        <f t="shared" si="22"/>
        <v>0.54461107447990675</v>
      </c>
      <c r="R68" s="10">
        <f t="shared" si="22"/>
        <v>0.55442643581632522</v>
      </c>
      <c r="S68" s="10">
        <f t="shared" si="22"/>
        <v>0.3573687386027804</v>
      </c>
      <c r="T68" s="10">
        <f t="shared" si="22"/>
        <v>0.37222595111190027</v>
      </c>
      <c r="U68" s="10">
        <f t="shared" si="22"/>
        <v>0.53614306928156674</v>
      </c>
      <c r="V68" s="10">
        <f t="shared" si="22"/>
        <v>0.57917392111480004</v>
      </c>
      <c r="W68" s="10">
        <f t="shared" si="22"/>
        <v>0.61858640649094698</v>
      </c>
      <c r="X68" s="10">
        <f t="shared" si="22"/>
        <v>0.73357224206234473</v>
      </c>
    </row>
    <row r="69" spans="1:29" x14ac:dyDescent="0.3">
      <c r="A69" s="5" t="s">
        <v>17</v>
      </c>
      <c r="I69" s="10">
        <f t="shared" ref="I69:X69" si="23">I42/I19</f>
        <v>0.30772731627531263</v>
      </c>
      <c r="J69" s="10">
        <f t="shared" si="23"/>
        <v>0.330041584158691</v>
      </c>
      <c r="K69" s="10">
        <f t="shared" si="23"/>
        <v>0.32930415563339666</v>
      </c>
      <c r="L69" s="10">
        <f t="shared" si="23"/>
        <v>0.39815883698170879</v>
      </c>
      <c r="M69" s="10">
        <f t="shared" si="23"/>
        <v>0.4365522273719098</v>
      </c>
      <c r="N69" s="10">
        <f t="shared" si="23"/>
        <v>0.4395021860461687</v>
      </c>
      <c r="O69" s="10">
        <f t="shared" si="23"/>
        <v>0.46834477052333606</v>
      </c>
      <c r="P69" s="10">
        <f t="shared" si="23"/>
        <v>0.51515686065742083</v>
      </c>
      <c r="Q69" s="10">
        <f t="shared" si="23"/>
        <v>0.57845535636323087</v>
      </c>
      <c r="R69" s="10">
        <f t="shared" si="23"/>
        <v>0.64186048263537177</v>
      </c>
      <c r="S69" s="10">
        <f t="shared" si="23"/>
        <v>0.35128750732864106</v>
      </c>
      <c r="T69" s="10">
        <f t="shared" si="23"/>
        <v>0.44898487639213241</v>
      </c>
      <c r="U69" s="10">
        <f t="shared" si="23"/>
        <v>0.6725057500803846</v>
      </c>
      <c r="V69" s="10">
        <f t="shared" si="23"/>
        <v>0.8583675649429473</v>
      </c>
      <c r="W69" s="10">
        <f t="shared" si="23"/>
        <v>0.89976657388549852</v>
      </c>
      <c r="X69" s="10">
        <f t="shared" si="23"/>
        <v>1.0343649534096817</v>
      </c>
    </row>
    <row r="70" spans="1:29" x14ac:dyDescent="0.3">
      <c r="A70" s="5" t="s">
        <v>52</v>
      </c>
      <c r="I70" s="10">
        <f t="shared" ref="I70:X70" si="24">I43/I20</f>
        <v>0.1363352546868469</v>
      </c>
      <c r="J70" s="10">
        <f t="shared" si="24"/>
        <v>0.12528415192831283</v>
      </c>
      <c r="K70" s="10">
        <f t="shared" si="24"/>
        <v>0.11048495463056104</v>
      </c>
      <c r="L70" s="10">
        <f t="shared" si="24"/>
        <v>0.1562614119547438</v>
      </c>
      <c r="M70" s="10">
        <f t="shared" si="24"/>
        <v>0.10801034805078938</v>
      </c>
      <c r="N70" s="10">
        <f t="shared" si="24"/>
        <v>0.20649683095049129</v>
      </c>
      <c r="O70" s="10">
        <f t="shared" si="24"/>
        <v>0.22440298272546319</v>
      </c>
      <c r="P70" s="10">
        <f t="shared" si="24"/>
        <v>0.23922224678981732</v>
      </c>
      <c r="Q70" s="10">
        <f t="shared" si="24"/>
        <v>0.27349680262789805</v>
      </c>
      <c r="R70" s="10">
        <f t="shared" si="24"/>
        <v>0.2641174804723449</v>
      </c>
      <c r="S70" s="10">
        <f t="shared" si="24"/>
        <v>0.11159105003628826</v>
      </c>
      <c r="T70" s="10">
        <f t="shared" si="24"/>
        <v>8.6199924960671775E-2</v>
      </c>
      <c r="U70" s="10">
        <f t="shared" si="24"/>
        <v>0.19063408107297927</v>
      </c>
      <c r="V70" s="10">
        <f t="shared" si="24"/>
        <v>0.22645296302381138</v>
      </c>
      <c r="W70" s="10">
        <f t="shared" si="24"/>
        <v>0.24868481099364823</v>
      </c>
      <c r="X70" s="10">
        <f t="shared" si="24"/>
        <v>0.2869864308544135</v>
      </c>
    </row>
    <row r="71" spans="1:29" x14ac:dyDescent="0.3">
      <c r="A71" s="5" t="s">
        <v>19</v>
      </c>
      <c r="I71" s="10">
        <f t="shared" ref="I71:X71" si="25">I44/I21</f>
        <v>0.13156240673799122</v>
      </c>
      <c r="J71" s="10">
        <f t="shared" si="25"/>
        <v>0.15974204694217028</v>
      </c>
      <c r="K71" s="10">
        <f t="shared" si="25"/>
        <v>0.10532273679039812</v>
      </c>
      <c r="L71" s="10">
        <f t="shared" si="25"/>
        <v>0.13445812845493693</v>
      </c>
      <c r="M71" s="10">
        <f t="shared" si="25"/>
        <v>0.13035694960714234</v>
      </c>
      <c r="N71" s="10">
        <f t="shared" si="25"/>
        <v>0.1675321835559572</v>
      </c>
      <c r="O71" s="10">
        <f t="shared" si="25"/>
        <v>0.18039804377510268</v>
      </c>
      <c r="P71" s="10">
        <f t="shared" si="25"/>
        <v>0.215488569594393</v>
      </c>
      <c r="Q71" s="10">
        <f t="shared" si="25"/>
        <v>0.30055741328267754</v>
      </c>
      <c r="R71" s="10">
        <f t="shared" si="25"/>
        <v>0.31157910959050716</v>
      </c>
      <c r="S71" s="10">
        <f t="shared" si="25"/>
        <v>7.4854027583031627E-2</v>
      </c>
      <c r="T71" s="10">
        <f t="shared" si="25"/>
        <v>8.7740104447634901E-2</v>
      </c>
      <c r="U71" s="10">
        <f t="shared" si="25"/>
        <v>0.20921155830360441</v>
      </c>
      <c r="V71" s="10">
        <f t="shared" si="25"/>
        <v>0.25633134742045632</v>
      </c>
      <c r="W71" s="10">
        <f t="shared" si="25"/>
        <v>0.31237770467797926</v>
      </c>
      <c r="X71" s="10">
        <f t="shared" si="25"/>
        <v>0.37178877225699652</v>
      </c>
    </row>
    <row r="72" spans="1:29" x14ac:dyDescent="0.3">
      <c r="A72" s="5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</row>
    <row r="73" spans="1:29" x14ac:dyDescent="0.3">
      <c r="A73" s="3" t="s">
        <v>126</v>
      </c>
      <c r="B73" s="11"/>
      <c r="C73" s="11"/>
      <c r="D73" s="11"/>
      <c r="E73" s="11"/>
      <c r="F73" s="11"/>
      <c r="G73" s="11"/>
      <c r="H73" s="11"/>
      <c r="I73" s="12">
        <v>2010</v>
      </c>
      <c r="J73" s="13">
        <v>2011</v>
      </c>
      <c r="K73" s="13">
        <v>2012</v>
      </c>
      <c r="L73" s="12">
        <v>2013</v>
      </c>
      <c r="M73" s="13">
        <v>2014</v>
      </c>
      <c r="N73" s="13">
        <v>2015</v>
      </c>
      <c r="O73" s="12">
        <v>2016</v>
      </c>
      <c r="P73" s="13">
        <v>2017</v>
      </c>
      <c r="Q73" s="13">
        <v>2018</v>
      </c>
      <c r="R73" s="12">
        <v>2019</v>
      </c>
      <c r="S73" s="13">
        <v>2020</v>
      </c>
      <c r="T73" s="13">
        <v>2021</v>
      </c>
      <c r="U73" s="12">
        <v>2022</v>
      </c>
      <c r="V73" s="13">
        <v>2023</v>
      </c>
      <c r="W73" s="13">
        <v>2024</v>
      </c>
      <c r="X73" s="12">
        <v>2025</v>
      </c>
      <c r="Y73" s="13">
        <v>2026</v>
      </c>
      <c r="Z73" s="13">
        <v>2027</v>
      </c>
      <c r="AA73" s="12">
        <v>2028</v>
      </c>
      <c r="AB73" s="13">
        <v>2029</v>
      </c>
      <c r="AC73" s="13">
        <v>2030</v>
      </c>
    </row>
    <row r="74" spans="1:29" x14ac:dyDescent="0.3">
      <c r="A74" s="5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</row>
    <row r="75" spans="1:29" x14ac:dyDescent="0.3">
      <c r="A75" s="5" t="s">
        <v>0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>
        <f>' GDP CEE Oct 2025'!Q2*10^9/X2</f>
        <v>9621.6452470248714</v>
      </c>
    </row>
    <row r="76" spans="1:29" x14ac:dyDescent="0.3">
      <c r="A76" s="5" t="s">
        <v>1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>
        <f>' GDP CEE Oct 2025'!Q3*10^9/X3</f>
        <v>9399.6397237769816</v>
      </c>
    </row>
    <row r="77" spans="1:29" x14ac:dyDescent="0.3">
      <c r="A77" s="5" t="s">
        <v>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>
        <f>' GDP CEE Oct 2025'!Q4*10^9/X4</f>
        <v>7143.0107617372505</v>
      </c>
    </row>
    <row r="78" spans="1:29" x14ac:dyDescent="0.3">
      <c r="A78" s="7" t="s">
        <v>3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>
        <f>' GDP CEE Oct 2025'!Q5*10^9/X5</f>
        <v>8771.7932361891835</v>
      </c>
    </row>
    <row r="79" spans="1:29" x14ac:dyDescent="0.3">
      <c r="A79" s="5" t="s">
        <v>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>
        <f>' GDP CEE Oct 2025'!Q6*10^9/X6</f>
        <v>18985.464077826095</v>
      </c>
    </row>
    <row r="80" spans="1:29" x14ac:dyDescent="0.3">
      <c r="A80" s="5" t="s">
        <v>5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>
        <f>' GDP CEE Oct 2025'!Q7*10^9/X7</f>
        <v>25148.444587303231</v>
      </c>
    </row>
    <row r="81" spans="1:24" x14ac:dyDescent="0.3">
      <c r="A81" s="5" t="s">
        <v>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>
        <f>' GDP CEE Oct 2025'!Q8*10^9/X8</f>
        <v>35371.759886768741</v>
      </c>
    </row>
    <row r="82" spans="1:24" x14ac:dyDescent="0.3">
      <c r="A82" s="5" t="s">
        <v>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>
        <f>' GDP CEE Oct 2025'!Q9*10^9/X9</f>
        <v>39473.939670199339</v>
      </c>
    </row>
    <row r="83" spans="1:24" x14ac:dyDescent="0.3">
      <c r="A83" s="5" t="s">
        <v>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>
        <f>' GDP CEE Oct 2025'!Q10*10^9/X10</f>
        <v>7668.2230134027322</v>
      </c>
    </row>
    <row r="84" spans="1:24" x14ac:dyDescent="0.3">
      <c r="A84" s="5" t="s">
        <v>9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>
        <f>' GDP CEE Oct 2025'!Q11*10^9/X11</f>
        <v>25210.901499930551</v>
      </c>
    </row>
    <row r="85" spans="1:24" x14ac:dyDescent="0.3">
      <c r="A85" s="5" t="s">
        <v>10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>
        <f>' GDP CEE Oct 2025'!Q12*10^9/X12</f>
        <v>26887.698372586678</v>
      </c>
    </row>
    <row r="86" spans="1:24" x14ac:dyDescent="0.3">
      <c r="A86" s="5" t="s">
        <v>11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>
        <f>' GDP CEE Oct 2025'!Q13*10^9/X13</f>
        <v>36632.039365773649</v>
      </c>
    </row>
    <row r="87" spans="1:24" x14ac:dyDescent="0.3">
      <c r="A87" s="5" t="s">
        <v>40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>
        <f>' GDP CEE Oct 2025'!Q14*10^9/X14</f>
        <v>9256.8521701467926</v>
      </c>
    </row>
    <row r="88" spans="1:24" x14ac:dyDescent="0.3">
      <c r="A88" s="5" t="s">
        <v>12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>
        <f>' GDP CEE Oct 2025'!Q15*10^9/X15</f>
        <v>2613.3509177323949</v>
      </c>
    </row>
    <row r="89" spans="1:24" x14ac:dyDescent="0.3">
      <c r="A89" s="5" t="s">
        <v>13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>
        <f>' GDP CEE Oct 2025'!Q16*10^9/X16</f>
        <v>31453.14430969868</v>
      </c>
    </row>
    <row r="90" spans="1:24" x14ac:dyDescent="0.3">
      <c r="A90" s="5" t="s">
        <v>15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>
        <f>' GDP CEE Oct 2025'!Q17*10^9/X17</f>
        <v>27098.336988561794</v>
      </c>
    </row>
    <row r="91" spans="1:24" x14ac:dyDescent="0.3">
      <c r="A91" s="5" t="s">
        <v>16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>
        <f>' GDP CEE Oct 2025'!Q18*10^9/X18</f>
        <v>20242.690167609653</v>
      </c>
    </row>
    <row r="92" spans="1:24" x14ac:dyDescent="0.3">
      <c r="A92" s="5" t="s">
        <v>17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>
        <f>' GDP CEE Oct 2025'!Q19*10^9/X19</f>
        <v>15130.548772760172</v>
      </c>
    </row>
    <row r="93" spans="1:24" x14ac:dyDescent="0.3">
      <c r="A93" s="5" t="s">
        <v>52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>
        <f>' GDP CEE Oct 2025'!Q20*10^9/X20</f>
        <v>27806.162874715508</v>
      </c>
    </row>
    <row r="94" spans="1:24" x14ac:dyDescent="0.3">
      <c r="A94" s="5" t="s">
        <v>19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>
        <f>' GDP CEE Oct 2025'!Q21*10^9/X21</f>
        <v>37803.907945162595</v>
      </c>
    </row>
    <row r="95" spans="1:24" x14ac:dyDescent="0.3">
      <c r="A95" s="5" t="s">
        <v>57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>
        <f>' GDP CEE Oct 2025'!Q22*10^9/X22</f>
        <v>21789.309898656255</v>
      </c>
    </row>
    <row r="96" spans="1:24" x14ac:dyDescent="0.3">
      <c r="A96" s="5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</row>
    <row r="97" spans="1:29" x14ac:dyDescent="0.3">
      <c r="A97" s="5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</row>
    <row r="98" spans="1:29" x14ac:dyDescent="0.3">
      <c r="A98" s="5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</row>
    <row r="100" spans="1:29" x14ac:dyDescent="0.3">
      <c r="A100" s="2" t="s">
        <v>22</v>
      </c>
      <c r="B100" s="2"/>
      <c r="C100" s="3"/>
      <c r="D100" s="3"/>
      <c r="E100" s="3"/>
      <c r="F100" s="3"/>
      <c r="G100" s="3"/>
      <c r="H100" s="3"/>
      <c r="I100" s="4">
        <v>40543</v>
      </c>
      <c r="J100" s="4">
        <v>40908</v>
      </c>
      <c r="K100" s="4">
        <v>41274</v>
      </c>
      <c r="L100" s="4">
        <v>41639</v>
      </c>
      <c r="M100" s="4">
        <v>42004</v>
      </c>
      <c r="N100" s="4">
        <v>42369</v>
      </c>
      <c r="O100" s="4">
        <v>42735</v>
      </c>
      <c r="P100" s="4">
        <v>43100</v>
      </c>
      <c r="Q100" s="4">
        <v>43465</v>
      </c>
      <c r="R100" s="4">
        <v>43830</v>
      </c>
      <c r="S100" s="4">
        <v>44196</v>
      </c>
      <c r="T100" s="4">
        <v>44561</v>
      </c>
      <c r="U100" s="4">
        <v>44926</v>
      </c>
      <c r="V100" s="4">
        <v>45291</v>
      </c>
      <c r="W100" s="4">
        <v>45657</v>
      </c>
      <c r="X100" s="4">
        <v>46022</v>
      </c>
      <c r="Y100" s="4">
        <v>46387</v>
      </c>
      <c r="Z100" s="4">
        <v>46752</v>
      </c>
      <c r="AA100" s="4">
        <v>47118</v>
      </c>
      <c r="AB100" s="4">
        <v>47483</v>
      </c>
      <c r="AC100" s="4">
        <v>47848</v>
      </c>
    </row>
    <row r="101" spans="1:29" x14ac:dyDescent="0.3">
      <c r="A101" s="5" t="s">
        <v>62</v>
      </c>
      <c r="B101" s="5"/>
      <c r="C101" s="5" t="s">
        <v>80</v>
      </c>
      <c r="D101" s="5" t="s">
        <v>81</v>
      </c>
      <c r="E101" s="5"/>
      <c r="F101" s="5" t="s">
        <v>82</v>
      </c>
      <c r="G101" s="5"/>
      <c r="H101" s="5"/>
      <c r="I101" s="6">
        <v>8447901</v>
      </c>
      <c r="J101" s="6">
        <v>8475092</v>
      </c>
      <c r="K101" s="6">
        <v>8513010</v>
      </c>
      <c r="L101" s="6">
        <v>8562634</v>
      </c>
      <c r="M101" s="6">
        <v>8615828</v>
      </c>
      <c r="N101" s="6">
        <v>8665550</v>
      </c>
      <c r="O101" s="6">
        <v>8711770</v>
      </c>
      <c r="P101" s="6">
        <v>8754413</v>
      </c>
      <c r="Q101" s="6">
        <v>8793370</v>
      </c>
      <c r="R101" s="6">
        <v>8828456</v>
      </c>
      <c r="S101" s="6">
        <v>8859449</v>
      </c>
      <c r="T101" s="6">
        <v>8887740</v>
      </c>
      <c r="U101" s="6">
        <v>8913088</v>
      </c>
      <c r="V101" s="6">
        <v>8940860</v>
      </c>
      <c r="W101" s="6">
        <v>8967982</v>
      </c>
      <c r="X101" s="6">
        <v>8994273</v>
      </c>
      <c r="Y101" s="6">
        <v>9019616</v>
      </c>
      <c r="Z101" s="6">
        <v>9043979</v>
      </c>
      <c r="AA101" s="6">
        <v>9067339</v>
      </c>
      <c r="AB101" s="6">
        <v>9089642</v>
      </c>
      <c r="AC101" s="6">
        <v>9110865</v>
      </c>
    </row>
    <row r="102" spans="1:29" x14ac:dyDescent="0.3">
      <c r="A102" s="5" t="s">
        <v>63</v>
      </c>
      <c r="B102" s="5"/>
      <c r="C102" s="5" t="s">
        <v>83</v>
      </c>
      <c r="D102" s="5" t="s">
        <v>84</v>
      </c>
      <c r="E102" s="5"/>
      <c r="F102" s="5" t="s">
        <v>85</v>
      </c>
      <c r="G102" s="5"/>
      <c r="H102" s="5"/>
      <c r="I102" s="6">
        <v>10865722</v>
      </c>
      <c r="J102" s="6">
        <v>10962548</v>
      </c>
      <c r="K102" s="6">
        <v>11058133</v>
      </c>
      <c r="L102" s="6">
        <v>11148086</v>
      </c>
      <c r="M102" s="6">
        <v>11236729</v>
      </c>
      <c r="N102" s="6">
        <v>11323973</v>
      </c>
      <c r="O102" s="6">
        <v>11409077</v>
      </c>
      <c r="P102" s="6">
        <v>11491346</v>
      </c>
      <c r="Q102" s="6">
        <v>11570762</v>
      </c>
      <c r="R102" s="6">
        <v>11647253</v>
      </c>
      <c r="S102" s="6">
        <v>11720716</v>
      </c>
      <c r="T102" s="6">
        <v>11790963</v>
      </c>
      <c r="U102" s="6">
        <v>11847338</v>
      </c>
      <c r="V102" s="6">
        <v>11913633</v>
      </c>
      <c r="W102" s="6">
        <v>11977634</v>
      </c>
      <c r="X102" s="6">
        <v>12039272</v>
      </c>
      <c r="Y102" s="6">
        <v>12098499</v>
      </c>
      <c r="Z102" s="6">
        <v>12155250</v>
      </c>
      <c r="AA102" s="6">
        <v>12209439</v>
      </c>
      <c r="AB102" s="6">
        <v>12261001</v>
      </c>
      <c r="AC102" s="6">
        <v>12309925</v>
      </c>
    </row>
    <row r="103" spans="1:29" x14ac:dyDescent="0.3">
      <c r="A103" s="5" t="s">
        <v>64</v>
      </c>
      <c r="B103" s="5"/>
      <c r="C103" s="5" t="s">
        <v>86</v>
      </c>
      <c r="D103" s="5" t="s">
        <v>87</v>
      </c>
      <c r="E103" s="5"/>
      <c r="F103" s="5" t="s">
        <v>88</v>
      </c>
      <c r="G103" s="5"/>
      <c r="H103" s="5"/>
      <c r="I103" s="6">
        <v>5546980</v>
      </c>
      <c r="J103" s="6">
        <v>5570463</v>
      </c>
      <c r="K103" s="6">
        <v>5592472</v>
      </c>
      <c r="L103" s="6">
        <v>5617172</v>
      </c>
      <c r="M103" s="6">
        <v>5647207</v>
      </c>
      <c r="N103" s="6">
        <v>5688232</v>
      </c>
      <c r="O103" s="6">
        <v>5733361</v>
      </c>
      <c r="P103" s="6">
        <v>5773404</v>
      </c>
      <c r="Q103" s="6">
        <v>5809375</v>
      </c>
      <c r="R103" s="6">
        <v>5841245</v>
      </c>
      <c r="S103" s="6">
        <v>5868927</v>
      </c>
      <c r="T103" s="6">
        <v>5894687</v>
      </c>
      <c r="U103" s="6">
        <v>5920767</v>
      </c>
      <c r="V103" s="6">
        <v>5946984</v>
      </c>
      <c r="W103" s="6">
        <v>5973136</v>
      </c>
      <c r="X103" s="6">
        <v>5999028</v>
      </c>
      <c r="Y103" s="6">
        <v>6024472</v>
      </c>
      <c r="Z103" s="6">
        <v>6049290</v>
      </c>
      <c r="AA103" s="6">
        <v>6073340</v>
      </c>
      <c r="AB103" s="6">
        <v>6096523</v>
      </c>
      <c r="AC103" s="6">
        <v>6118770</v>
      </c>
    </row>
    <row r="104" spans="1:29" x14ac:dyDescent="0.3">
      <c r="A104" s="5" t="s">
        <v>65</v>
      </c>
      <c r="B104" s="5"/>
      <c r="C104" s="5" t="s">
        <v>89</v>
      </c>
      <c r="D104" s="5" t="s">
        <v>90</v>
      </c>
      <c r="E104" s="5"/>
      <c r="F104" s="5" t="s">
        <v>91</v>
      </c>
      <c r="G104" s="5"/>
      <c r="H104" s="5"/>
      <c r="I104" s="6">
        <v>5354669</v>
      </c>
      <c r="J104" s="6">
        <v>5379679</v>
      </c>
      <c r="K104" s="6">
        <v>5405387</v>
      </c>
      <c r="L104" s="6">
        <v>5430351</v>
      </c>
      <c r="M104" s="6">
        <v>5454465</v>
      </c>
      <c r="N104" s="6">
        <v>5477371</v>
      </c>
      <c r="O104" s="6">
        <v>5499022</v>
      </c>
      <c r="P104" s="6">
        <v>5519372</v>
      </c>
      <c r="Q104" s="6">
        <v>5538400</v>
      </c>
      <c r="R104" s="6">
        <v>5556081</v>
      </c>
      <c r="S104" s="6">
        <v>5572355</v>
      </c>
      <c r="T104" s="6">
        <v>5587442</v>
      </c>
      <c r="U104" s="6">
        <v>5601547</v>
      </c>
      <c r="V104" s="6">
        <v>5614571</v>
      </c>
      <c r="W104" s="6">
        <v>5626414</v>
      </c>
      <c r="X104" s="6">
        <v>5636997</v>
      </c>
      <c r="Y104" s="6">
        <v>5646225</v>
      </c>
      <c r="Z104" s="6">
        <v>5654014</v>
      </c>
      <c r="AA104" s="6">
        <v>5660359</v>
      </c>
      <c r="AB104" s="6">
        <v>5665260</v>
      </c>
      <c r="AC104" s="6">
        <v>5668706</v>
      </c>
    </row>
    <row r="105" spans="1:29" x14ac:dyDescent="0.3">
      <c r="A105" s="5" t="s">
        <v>66</v>
      </c>
      <c r="B105" s="5"/>
      <c r="C105" s="5" t="s">
        <v>92</v>
      </c>
      <c r="D105" s="5" t="s">
        <v>27</v>
      </c>
      <c r="E105" s="5"/>
      <c r="F105" s="5" t="s">
        <v>93</v>
      </c>
      <c r="G105" s="5"/>
      <c r="H105" s="5"/>
      <c r="I105" s="6">
        <v>64934209</v>
      </c>
      <c r="J105" s="6">
        <v>65294831</v>
      </c>
      <c r="K105" s="6">
        <v>65638922</v>
      </c>
      <c r="L105" s="6">
        <v>65966626</v>
      </c>
      <c r="M105" s="6">
        <v>66278308</v>
      </c>
      <c r="N105" s="6">
        <v>66575000</v>
      </c>
      <c r="O105" s="6">
        <v>66857439</v>
      </c>
      <c r="P105" s="6">
        <v>67126156</v>
      </c>
      <c r="Q105" s="6">
        <v>67382001</v>
      </c>
      <c r="R105" s="6">
        <v>67625957</v>
      </c>
      <c r="S105" s="6">
        <v>67858873</v>
      </c>
      <c r="T105" s="6">
        <v>68084217</v>
      </c>
      <c r="U105" s="6">
        <v>68305148</v>
      </c>
      <c r="V105" s="6">
        <v>68521974</v>
      </c>
      <c r="W105" s="6">
        <v>68735341</v>
      </c>
      <c r="X105" s="6">
        <v>68945586</v>
      </c>
      <c r="Y105" s="6">
        <v>69151859</v>
      </c>
      <c r="Z105" s="6">
        <v>69352906</v>
      </c>
      <c r="AA105" s="6">
        <v>69548296</v>
      </c>
      <c r="AB105" s="6">
        <v>69738198</v>
      </c>
      <c r="AC105" s="6">
        <v>69922460</v>
      </c>
    </row>
    <row r="106" spans="1:29" x14ac:dyDescent="0.3">
      <c r="A106" s="5" t="s">
        <v>67</v>
      </c>
      <c r="B106" s="5"/>
      <c r="C106" s="5" t="s">
        <v>94</v>
      </c>
      <c r="D106" s="5" t="s">
        <v>29</v>
      </c>
      <c r="E106" s="5"/>
      <c r="F106" s="5" t="s">
        <v>95</v>
      </c>
      <c r="G106" s="5"/>
      <c r="H106" s="5"/>
      <c r="I106" s="6">
        <v>81638328</v>
      </c>
      <c r="J106" s="6">
        <v>81459066</v>
      </c>
      <c r="K106" s="6">
        <v>81285373</v>
      </c>
      <c r="L106" s="6">
        <v>81118341</v>
      </c>
      <c r="M106" s="6">
        <v>80958737</v>
      </c>
      <c r="N106" s="6">
        <v>80806711</v>
      </c>
      <c r="O106" s="6">
        <v>80665175</v>
      </c>
      <c r="P106" s="6">
        <v>80527161</v>
      </c>
      <c r="Q106" s="6">
        <v>80382551</v>
      </c>
      <c r="R106" s="6">
        <v>80230554</v>
      </c>
      <c r="S106" s="6">
        <v>80069820</v>
      </c>
      <c r="T106" s="6">
        <v>79903481</v>
      </c>
      <c r="U106" s="6">
        <v>84316622</v>
      </c>
      <c r="V106" s="6">
        <v>84220184</v>
      </c>
      <c r="W106" s="6">
        <v>84119100</v>
      </c>
      <c r="X106" s="6">
        <v>84012284</v>
      </c>
      <c r="Y106" s="6">
        <v>83899469</v>
      </c>
      <c r="Z106" s="6">
        <v>83781138</v>
      </c>
      <c r="AA106" s="6">
        <v>83657423</v>
      </c>
      <c r="AB106" s="6">
        <v>83527852</v>
      </c>
      <c r="AC106" s="6">
        <v>83392190</v>
      </c>
    </row>
    <row r="107" spans="1:29" x14ac:dyDescent="0.3">
      <c r="A107" s="5" t="s">
        <v>68</v>
      </c>
      <c r="B107" s="5"/>
      <c r="C107" s="5" t="s">
        <v>96</v>
      </c>
      <c r="D107" s="5" t="s">
        <v>31</v>
      </c>
      <c r="E107" s="5"/>
      <c r="F107" s="5" t="s">
        <v>97</v>
      </c>
      <c r="G107" s="5"/>
      <c r="H107" s="5"/>
      <c r="I107" s="6">
        <v>11039844</v>
      </c>
      <c r="J107" s="6">
        <v>11017574</v>
      </c>
      <c r="K107" s="6">
        <v>10948200</v>
      </c>
      <c r="L107" s="6">
        <v>10872247</v>
      </c>
      <c r="M107" s="6">
        <v>10801129</v>
      </c>
      <c r="N107" s="6">
        <v>10728157</v>
      </c>
      <c r="O107" s="6">
        <v>10703982</v>
      </c>
      <c r="P107" s="6">
        <v>10698002</v>
      </c>
      <c r="Q107" s="6">
        <v>10668856</v>
      </c>
      <c r="R107" s="6">
        <v>10638236</v>
      </c>
      <c r="S107" s="6">
        <v>10604841</v>
      </c>
      <c r="T107" s="6">
        <v>10569703</v>
      </c>
      <c r="U107" s="6">
        <v>10533871</v>
      </c>
      <c r="V107" s="6">
        <v>10497595</v>
      </c>
      <c r="W107" s="6">
        <v>10461091</v>
      </c>
      <c r="X107" s="6">
        <v>10424536</v>
      </c>
      <c r="Y107" s="6">
        <v>10387931</v>
      </c>
      <c r="Z107" s="6">
        <v>10351313</v>
      </c>
      <c r="AA107" s="6">
        <v>10314860</v>
      </c>
      <c r="AB107" s="6">
        <v>10278665</v>
      </c>
      <c r="AC107" s="6">
        <v>10242709</v>
      </c>
    </row>
    <row r="108" spans="1:29" x14ac:dyDescent="0.3">
      <c r="A108" s="5" t="s">
        <v>69</v>
      </c>
      <c r="B108" s="5"/>
      <c r="C108" s="5" t="s">
        <v>98</v>
      </c>
      <c r="D108" s="5" t="s">
        <v>99</v>
      </c>
      <c r="E108" s="5"/>
      <c r="F108" s="5" t="s">
        <v>100</v>
      </c>
      <c r="G108" s="5"/>
      <c r="H108" s="5"/>
      <c r="I108" s="6">
        <v>4622824</v>
      </c>
      <c r="J108" s="6">
        <v>4670781</v>
      </c>
      <c r="K108" s="6">
        <v>4721704</v>
      </c>
      <c r="L108" s="6">
        <v>4775487</v>
      </c>
      <c r="M108" s="6">
        <v>4832026</v>
      </c>
      <c r="N108" s="6">
        <v>4891224</v>
      </c>
      <c r="O108" s="6">
        <v>4950973</v>
      </c>
      <c r="P108" s="6">
        <v>5009156</v>
      </c>
      <c r="Q108" s="6">
        <v>5065676</v>
      </c>
      <c r="R108" s="6">
        <v>5120458</v>
      </c>
      <c r="S108" s="6">
        <v>5173463</v>
      </c>
      <c r="T108" s="6">
        <v>5224884</v>
      </c>
      <c r="U108" s="6">
        <v>5275004</v>
      </c>
      <c r="V108" s="6">
        <v>5180761</v>
      </c>
      <c r="W108" s="6">
        <v>5233461</v>
      </c>
      <c r="X108" s="6">
        <v>5279007</v>
      </c>
      <c r="Y108" s="6">
        <v>5320864</v>
      </c>
      <c r="Z108" s="6">
        <v>5361983</v>
      </c>
      <c r="AA108" s="6">
        <v>5402540</v>
      </c>
      <c r="AB108" s="6">
        <v>5442638</v>
      </c>
      <c r="AC108" s="6">
        <v>5482251</v>
      </c>
    </row>
    <row r="109" spans="1:29" x14ac:dyDescent="0.3">
      <c r="A109" s="5" t="s">
        <v>70</v>
      </c>
      <c r="B109" s="5"/>
      <c r="C109" s="5" t="s">
        <v>101</v>
      </c>
      <c r="D109" s="5" t="s">
        <v>102</v>
      </c>
      <c r="E109" s="5"/>
      <c r="F109" s="5" t="s">
        <v>103</v>
      </c>
      <c r="G109" s="5"/>
      <c r="H109" s="5"/>
      <c r="I109" s="6">
        <v>60786485</v>
      </c>
      <c r="J109" s="6">
        <v>61092001</v>
      </c>
      <c r="K109" s="6">
        <v>61303175</v>
      </c>
      <c r="L109" s="6">
        <v>61433746</v>
      </c>
      <c r="M109" s="6">
        <v>61504156</v>
      </c>
      <c r="N109" s="6">
        <v>61512589</v>
      </c>
      <c r="O109" s="6">
        <v>61499222</v>
      </c>
      <c r="P109" s="6">
        <v>61498899</v>
      </c>
      <c r="Q109" s="6">
        <v>61488598</v>
      </c>
      <c r="R109" s="6">
        <v>61449057</v>
      </c>
      <c r="S109" s="6">
        <v>61337765</v>
      </c>
      <c r="T109" s="6">
        <v>61196793</v>
      </c>
      <c r="U109" s="6">
        <v>61095551</v>
      </c>
      <c r="V109" s="6">
        <v>61021855</v>
      </c>
      <c r="W109" s="6">
        <v>60964931</v>
      </c>
      <c r="X109" s="6">
        <v>60924851</v>
      </c>
      <c r="Y109" s="6">
        <v>60896213</v>
      </c>
      <c r="Z109" s="6">
        <v>60873567</v>
      </c>
      <c r="AA109" s="6">
        <v>60856833</v>
      </c>
      <c r="AB109" s="6">
        <v>60845808</v>
      </c>
      <c r="AC109" s="6">
        <v>60840335</v>
      </c>
    </row>
    <row r="110" spans="1:29" x14ac:dyDescent="0.3">
      <c r="A110" s="5" t="s">
        <v>71</v>
      </c>
      <c r="B110" s="5"/>
      <c r="C110" s="5" t="s">
        <v>104</v>
      </c>
      <c r="D110" s="5" t="s">
        <v>105</v>
      </c>
      <c r="E110" s="5"/>
      <c r="F110" s="5" t="s">
        <v>106</v>
      </c>
      <c r="G110" s="5"/>
      <c r="H110" s="5"/>
      <c r="I110" s="6">
        <v>509257</v>
      </c>
      <c r="J110" s="6">
        <v>520556</v>
      </c>
      <c r="K110" s="6">
        <v>533061</v>
      </c>
      <c r="L110" s="6">
        <v>545474</v>
      </c>
      <c r="M110" s="6">
        <v>557989</v>
      </c>
      <c r="N110" s="6">
        <v>570252</v>
      </c>
      <c r="O110" s="6">
        <v>582291</v>
      </c>
      <c r="P110" s="6">
        <v>594130</v>
      </c>
      <c r="Q110" s="6">
        <v>605764</v>
      </c>
      <c r="R110" s="6">
        <v>617185</v>
      </c>
      <c r="S110" s="6">
        <v>628615</v>
      </c>
      <c r="T110" s="6">
        <v>639589</v>
      </c>
      <c r="U110" s="6">
        <v>650364</v>
      </c>
      <c r="V110" s="6">
        <v>660924</v>
      </c>
      <c r="W110" s="6">
        <v>671254</v>
      </c>
      <c r="X110" s="6">
        <v>681340</v>
      </c>
      <c r="Y110" s="6">
        <v>691169</v>
      </c>
      <c r="Z110" s="6">
        <v>700723</v>
      </c>
      <c r="AA110" s="6">
        <v>709980</v>
      </c>
      <c r="AB110" s="6">
        <v>718923</v>
      </c>
      <c r="AC110" s="6">
        <v>727545</v>
      </c>
    </row>
    <row r="111" spans="1:29" x14ac:dyDescent="0.3">
      <c r="A111" s="5" t="s">
        <v>72</v>
      </c>
      <c r="B111" s="5"/>
      <c r="C111" s="5" t="s">
        <v>107</v>
      </c>
      <c r="D111" s="5" t="s">
        <v>108</v>
      </c>
      <c r="E111" s="5"/>
      <c r="F111" s="5" t="s">
        <v>109</v>
      </c>
      <c r="G111" s="5"/>
      <c r="H111" s="5"/>
      <c r="I111" s="6">
        <v>417173</v>
      </c>
      <c r="J111" s="6">
        <v>418933</v>
      </c>
      <c r="K111" s="6">
        <v>422121</v>
      </c>
      <c r="L111" s="6">
        <v>426039</v>
      </c>
      <c r="M111" s="6">
        <v>430028</v>
      </c>
      <c r="N111" s="6">
        <v>434537</v>
      </c>
      <c r="O111" s="6">
        <v>439578</v>
      </c>
      <c r="P111" s="6">
        <v>444458</v>
      </c>
      <c r="Q111" s="6">
        <v>449044</v>
      </c>
      <c r="R111" s="6">
        <v>453321</v>
      </c>
      <c r="S111" s="6">
        <v>457270</v>
      </c>
      <c r="T111" s="6">
        <v>460891</v>
      </c>
      <c r="U111" s="6">
        <v>464186</v>
      </c>
      <c r="V111" s="6">
        <v>467138</v>
      </c>
      <c r="W111" s="6">
        <v>469730</v>
      </c>
      <c r="X111" s="6">
        <v>471946</v>
      </c>
      <c r="Y111" s="6">
        <v>473893</v>
      </c>
      <c r="Z111" s="6">
        <v>475679</v>
      </c>
      <c r="AA111" s="6">
        <v>477301</v>
      </c>
      <c r="AB111" s="6">
        <v>478758</v>
      </c>
      <c r="AC111" s="6">
        <v>480049</v>
      </c>
    </row>
    <row r="112" spans="1:29" x14ac:dyDescent="0.3">
      <c r="A112" s="5" t="s">
        <v>73</v>
      </c>
      <c r="B112" s="5"/>
      <c r="C112" s="5" t="s">
        <v>110</v>
      </c>
      <c r="D112" s="5" t="s">
        <v>37</v>
      </c>
      <c r="E112" s="5"/>
      <c r="F112" s="5" t="s">
        <v>111</v>
      </c>
      <c r="G112" s="5"/>
      <c r="H112" s="5"/>
      <c r="I112" s="6">
        <v>16573644</v>
      </c>
      <c r="J112" s="6">
        <v>16653044</v>
      </c>
      <c r="K112" s="6">
        <v>16729271</v>
      </c>
      <c r="L112" s="6">
        <v>16802870</v>
      </c>
      <c r="M112" s="6">
        <v>16874277</v>
      </c>
      <c r="N112" s="6">
        <v>16943854</v>
      </c>
      <c r="O112" s="6">
        <v>17012019</v>
      </c>
      <c r="P112" s="6">
        <v>17079084</v>
      </c>
      <c r="Q112" s="6">
        <v>17145121</v>
      </c>
      <c r="R112" s="6">
        <v>17210116</v>
      </c>
      <c r="S112" s="6">
        <v>17274001</v>
      </c>
      <c r="T112" s="6">
        <v>17337403</v>
      </c>
      <c r="U112" s="6">
        <v>17400824</v>
      </c>
      <c r="V112" s="6">
        <v>17694798</v>
      </c>
      <c r="W112" s="6">
        <v>17772378</v>
      </c>
      <c r="X112" s="6">
        <v>17833885</v>
      </c>
      <c r="Y112" s="6">
        <v>17887585</v>
      </c>
      <c r="Z112" s="6">
        <v>17941744</v>
      </c>
      <c r="AA112" s="6">
        <v>17995753</v>
      </c>
      <c r="AB112" s="6">
        <v>18049115</v>
      </c>
      <c r="AC112" s="6">
        <v>18101400</v>
      </c>
    </row>
    <row r="113" spans="1:29" x14ac:dyDescent="0.3">
      <c r="A113" s="5" t="s">
        <v>74</v>
      </c>
      <c r="B113" s="5"/>
      <c r="C113" s="5" t="s">
        <v>112</v>
      </c>
      <c r="D113" s="5" t="s">
        <v>39</v>
      </c>
      <c r="E113" s="5"/>
      <c r="F113" s="5" t="s">
        <v>113</v>
      </c>
      <c r="G113" s="5"/>
      <c r="H113" s="5"/>
      <c r="I113" s="6">
        <v>4891301</v>
      </c>
      <c r="J113" s="6">
        <v>4955374</v>
      </c>
      <c r="K113" s="6">
        <v>5021107</v>
      </c>
      <c r="L113" s="6">
        <v>5085513</v>
      </c>
      <c r="M113" s="6">
        <v>5147527</v>
      </c>
      <c r="N113" s="6">
        <v>5207134</v>
      </c>
      <c r="O113" s="6">
        <v>5264276</v>
      </c>
      <c r="P113" s="6">
        <v>5318850</v>
      </c>
      <c r="Q113" s="6">
        <v>5370697</v>
      </c>
      <c r="R113" s="6">
        <v>5419620</v>
      </c>
      <c r="S113" s="6">
        <v>5465387</v>
      </c>
      <c r="T113" s="6">
        <v>5410267</v>
      </c>
      <c r="U113" s="6">
        <v>5443828</v>
      </c>
      <c r="V113" s="6">
        <v>5477028</v>
      </c>
      <c r="W113" s="6">
        <v>5509733</v>
      </c>
      <c r="X113" s="6">
        <v>5541823</v>
      </c>
      <c r="Y113" s="6">
        <v>5573569</v>
      </c>
      <c r="Z113" s="6">
        <v>5605224</v>
      </c>
      <c r="AA113" s="6">
        <v>5636649</v>
      </c>
      <c r="AB113" s="6">
        <v>5667740</v>
      </c>
      <c r="AC113" s="6">
        <v>5698430</v>
      </c>
    </row>
    <row r="114" spans="1:29" x14ac:dyDescent="0.3">
      <c r="A114" s="5" t="s">
        <v>75</v>
      </c>
      <c r="B114" s="5"/>
      <c r="C114" s="5" t="s">
        <v>114</v>
      </c>
      <c r="D114" s="5" t="s">
        <v>42</v>
      </c>
      <c r="E114" s="5"/>
      <c r="F114" s="5" t="s">
        <v>115</v>
      </c>
      <c r="G114" s="5"/>
      <c r="H114" s="5"/>
      <c r="I114" s="6">
        <v>10650026</v>
      </c>
      <c r="J114" s="6">
        <v>10634486</v>
      </c>
      <c r="K114" s="6">
        <v>10591764</v>
      </c>
      <c r="L114" s="6">
        <v>10534203</v>
      </c>
      <c r="M114" s="6">
        <v>10477254</v>
      </c>
      <c r="N114" s="6">
        <v>10433546</v>
      </c>
      <c r="O114" s="6">
        <v>10400888</v>
      </c>
      <c r="P114" s="6">
        <v>10370571</v>
      </c>
      <c r="Q114" s="6">
        <v>10342137</v>
      </c>
      <c r="R114" s="6">
        <v>10314630</v>
      </c>
      <c r="S114" s="6">
        <v>10288283</v>
      </c>
      <c r="T114" s="6">
        <v>10263850</v>
      </c>
      <c r="U114" s="6">
        <v>10242081</v>
      </c>
      <c r="V114" s="6">
        <v>10223150</v>
      </c>
      <c r="W114" s="6">
        <v>10207177</v>
      </c>
      <c r="X114" s="6">
        <v>10194277</v>
      </c>
      <c r="Y114" s="6">
        <v>10183053</v>
      </c>
      <c r="Z114" s="6">
        <v>10172071</v>
      </c>
      <c r="AA114" s="6">
        <v>10161329</v>
      </c>
      <c r="AB114" s="6">
        <v>10150761</v>
      </c>
      <c r="AC114" s="6">
        <v>10140270</v>
      </c>
    </row>
    <row r="115" spans="1:29" x14ac:dyDescent="0.3">
      <c r="A115" s="5" t="s">
        <v>76</v>
      </c>
      <c r="B115" s="5"/>
      <c r="C115" s="5" t="s">
        <v>116</v>
      </c>
      <c r="D115" s="5" t="s">
        <v>44</v>
      </c>
      <c r="E115" s="5"/>
      <c r="F115" s="5" t="s">
        <v>117</v>
      </c>
      <c r="G115" s="5"/>
      <c r="H115" s="5"/>
      <c r="I115" s="6">
        <v>46412492</v>
      </c>
      <c r="J115" s="6">
        <v>46466588</v>
      </c>
      <c r="K115" s="6">
        <v>46444355</v>
      </c>
      <c r="L115" s="6">
        <v>46290810</v>
      </c>
      <c r="M115" s="6">
        <v>46151087</v>
      </c>
      <c r="N115" s="6">
        <v>46117462</v>
      </c>
      <c r="O115" s="6">
        <v>46159139</v>
      </c>
      <c r="P115" s="6">
        <v>46268801</v>
      </c>
      <c r="Q115" s="6">
        <v>46474373</v>
      </c>
      <c r="R115" s="6">
        <v>46812053</v>
      </c>
      <c r="S115" s="6">
        <v>47041387</v>
      </c>
      <c r="T115" s="6">
        <v>47103121</v>
      </c>
      <c r="U115" s="6">
        <v>47163418</v>
      </c>
      <c r="V115" s="6">
        <v>47222613</v>
      </c>
      <c r="W115" s="6">
        <v>47280433</v>
      </c>
      <c r="X115" s="6">
        <v>47336448</v>
      </c>
      <c r="Y115" s="6">
        <v>47390594</v>
      </c>
      <c r="Z115" s="6">
        <v>47443038</v>
      </c>
      <c r="AA115" s="6">
        <v>47494078</v>
      </c>
      <c r="AB115" s="6">
        <v>47543697</v>
      </c>
      <c r="AC115" s="6">
        <v>47591826</v>
      </c>
    </row>
    <row r="116" spans="1:29" x14ac:dyDescent="0.3">
      <c r="A116" s="5" t="s">
        <v>77</v>
      </c>
      <c r="B116" s="5"/>
      <c r="C116" s="5" t="s">
        <v>118</v>
      </c>
      <c r="D116" s="5" t="s">
        <v>46</v>
      </c>
      <c r="E116" s="5"/>
      <c r="F116" s="5" t="s">
        <v>119</v>
      </c>
      <c r="G116" s="5"/>
      <c r="H116" s="5"/>
      <c r="I116" s="6">
        <v>9432308</v>
      </c>
      <c r="J116" s="6">
        <v>9503419</v>
      </c>
      <c r="K116" s="6">
        <v>9573255</v>
      </c>
      <c r="L116" s="6">
        <v>9647647</v>
      </c>
      <c r="M116" s="6">
        <v>9736574</v>
      </c>
      <c r="N116" s="6">
        <v>9838542</v>
      </c>
      <c r="O116" s="6">
        <v>9961459</v>
      </c>
      <c r="P116" s="6">
        <v>10094338</v>
      </c>
      <c r="Q116" s="6">
        <v>10210063</v>
      </c>
      <c r="R116" s="6">
        <v>10311555</v>
      </c>
      <c r="S116" s="6">
        <v>10382678</v>
      </c>
      <c r="T116" s="6">
        <v>10432235</v>
      </c>
      <c r="U116" s="6">
        <v>10483647</v>
      </c>
      <c r="V116" s="6">
        <v>10536338</v>
      </c>
      <c r="W116" s="6">
        <v>10589835</v>
      </c>
      <c r="X116" s="6">
        <v>10643745</v>
      </c>
      <c r="Y116" s="6">
        <v>10697024</v>
      </c>
      <c r="Z116" s="6">
        <v>10748687</v>
      </c>
      <c r="AA116" s="6">
        <v>10798553</v>
      </c>
      <c r="AB116" s="6">
        <v>10846607</v>
      </c>
      <c r="AC116" s="6">
        <v>10892993</v>
      </c>
    </row>
    <row r="117" spans="1:29" x14ac:dyDescent="0.3">
      <c r="A117" s="5" t="s">
        <v>78</v>
      </c>
      <c r="B117" s="5"/>
      <c r="C117" s="5" t="s">
        <v>120</v>
      </c>
      <c r="D117" s="5" t="s">
        <v>121</v>
      </c>
      <c r="E117" s="5"/>
      <c r="F117" s="5" t="s">
        <v>122</v>
      </c>
      <c r="G117" s="5"/>
      <c r="H117" s="5"/>
      <c r="I117" s="6">
        <v>7937497</v>
      </c>
      <c r="J117" s="6">
        <v>8027848</v>
      </c>
      <c r="K117" s="6">
        <v>8077542</v>
      </c>
      <c r="L117" s="6">
        <v>8140760</v>
      </c>
      <c r="M117" s="6">
        <v>8212709</v>
      </c>
      <c r="N117" s="6">
        <v>8282143</v>
      </c>
      <c r="O117" s="6">
        <v>8354268</v>
      </c>
      <c r="P117" s="6">
        <v>8418657</v>
      </c>
      <c r="Q117" s="6">
        <v>8470888</v>
      </c>
      <c r="R117" s="6">
        <v>8525316</v>
      </c>
      <c r="S117" s="6">
        <v>8585698</v>
      </c>
      <c r="T117" s="6">
        <v>8653376</v>
      </c>
      <c r="U117" s="6">
        <v>8724310</v>
      </c>
      <c r="V117" s="6">
        <v>8793404</v>
      </c>
      <c r="W117" s="6">
        <v>8860574</v>
      </c>
      <c r="X117" s="6">
        <v>8925741</v>
      </c>
      <c r="Y117" s="6">
        <v>8989321</v>
      </c>
      <c r="Z117" s="6">
        <v>9051703</v>
      </c>
      <c r="AA117" s="6">
        <v>9112772</v>
      </c>
      <c r="AB117" s="6">
        <v>9172425</v>
      </c>
      <c r="AC117" s="6">
        <v>9230574</v>
      </c>
    </row>
    <row r="118" spans="1:29" x14ac:dyDescent="0.3">
      <c r="A118" s="5" t="s">
        <v>79</v>
      </c>
      <c r="B118" s="5"/>
      <c r="C118" s="5" t="s">
        <v>123</v>
      </c>
      <c r="D118" s="5" t="s">
        <v>49</v>
      </c>
      <c r="E118" s="5"/>
      <c r="F118" s="5" t="s">
        <v>124</v>
      </c>
      <c r="G118" s="5"/>
      <c r="H118" s="5"/>
      <c r="I118" s="6">
        <v>62348447</v>
      </c>
      <c r="J118" s="6">
        <v>62698362</v>
      </c>
      <c r="K118" s="6">
        <v>63047162</v>
      </c>
      <c r="L118" s="6">
        <v>63395574</v>
      </c>
      <c r="M118" s="6">
        <v>63742977</v>
      </c>
      <c r="N118" s="6">
        <v>64088222</v>
      </c>
      <c r="O118" s="6">
        <v>64430428</v>
      </c>
      <c r="P118" s="6">
        <v>64769452</v>
      </c>
      <c r="Q118" s="6">
        <v>65105246</v>
      </c>
      <c r="R118" s="6">
        <v>65436510</v>
      </c>
      <c r="S118" s="6">
        <v>67022855</v>
      </c>
      <c r="T118" s="6">
        <v>67419123</v>
      </c>
      <c r="U118" s="6">
        <v>67791400</v>
      </c>
      <c r="V118" s="6">
        <v>68138484</v>
      </c>
      <c r="W118" s="6">
        <v>68459055</v>
      </c>
      <c r="X118" s="6">
        <v>68751311</v>
      </c>
      <c r="Y118" s="6">
        <v>69027283</v>
      </c>
      <c r="Z118" s="6">
        <v>69299419</v>
      </c>
      <c r="AA118" s="6">
        <v>69567012</v>
      </c>
      <c r="AB118" s="6">
        <v>69830169</v>
      </c>
      <c r="AC118" s="6">
        <v>70088809</v>
      </c>
    </row>
    <row r="119" spans="1:29" x14ac:dyDescent="0.3">
      <c r="A119" s="3" t="s">
        <v>57</v>
      </c>
      <c r="B119" s="15"/>
      <c r="C119" s="15"/>
      <c r="D119" s="15"/>
      <c r="E119" s="15"/>
      <c r="F119" s="15"/>
      <c r="G119" s="15"/>
      <c r="H119" s="15"/>
      <c r="I119" s="8">
        <f>SUM(I101:I118)</f>
        <v>412409107</v>
      </c>
      <c r="J119" s="8">
        <f t="shared" ref="J119:AC119" si="26">SUM(J101:J118)</f>
        <v>413800645</v>
      </c>
      <c r="K119" s="8">
        <f t="shared" si="26"/>
        <v>414906014</v>
      </c>
      <c r="L119" s="8">
        <f t="shared" si="26"/>
        <v>415793580</v>
      </c>
      <c r="M119" s="8">
        <f t="shared" si="26"/>
        <v>416659007</v>
      </c>
      <c r="N119" s="8">
        <f t="shared" si="26"/>
        <v>417584499</v>
      </c>
      <c r="O119" s="8">
        <f t="shared" si="26"/>
        <v>418634367</v>
      </c>
      <c r="P119" s="8">
        <f t="shared" si="26"/>
        <v>419756250</v>
      </c>
      <c r="Q119" s="8">
        <f t="shared" si="26"/>
        <v>420872922</v>
      </c>
      <c r="R119" s="8">
        <f t="shared" si="26"/>
        <v>422037603</v>
      </c>
      <c r="S119" s="8">
        <f t="shared" si="26"/>
        <v>424212383</v>
      </c>
      <c r="T119" s="8">
        <f t="shared" si="26"/>
        <v>424859765</v>
      </c>
      <c r="U119" s="8">
        <f t="shared" si="26"/>
        <v>430172994</v>
      </c>
      <c r="V119" s="8">
        <f t="shared" si="26"/>
        <v>431072294</v>
      </c>
      <c r="W119" s="8">
        <f t="shared" si="26"/>
        <v>431879259</v>
      </c>
      <c r="X119" s="8">
        <f t="shared" si="26"/>
        <v>432636350</v>
      </c>
      <c r="Y119" s="8">
        <f t="shared" si="26"/>
        <v>433358639</v>
      </c>
      <c r="Z119" s="8">
        <f t="shared" si="26"/>
        <v>434061728</v>
      </c>
      <c r="AA119" s="8">
        <f t="shared" si="26"/>
        <v>434743856</v>
      </c>
      <c r="AB119" s="8">
        <f t="shared" si="26"/>
        <v>435403782</v>
      </c>
      <c r="AC119" s="8">
        <f t="shared" si="26"/>
        <v>436040107</v>
      </c>
    </row>
    <row r="121" spans="1:29" x14ac:dyDescent="0.3">
      <c r="A121" s="3" t="s">
        <v>58</v>
      </c>
      <c r="B121" s="11"/>
      <c r="C121" s="11"/>
      <c r="D121" s="11"/>
      <c r="E121" s="11"/>
      <c r="F121" s="11"/>
      <c r="G121" s="11"/>
      <c r="H121" s="11"/>
      <c r="I121" s="12">
        <v>2010</v>
      </c>
      <c r="J121" s="13">
        <v>2011</v>
      </c>
      <c r="K121" s="13">
        <v>2012</v>
      </c>
      <c r="L121" s="12">
        <v>2013</v>
      </c>
      <c r="M121" s="13">
        <v>2014</v>
      </c>
      <c r="N121" s="13">
        <v>2015</v>
      </c>
      <c r="O121" s="12">
        <v>2016</v>
      </c>
      <c r="P121" s="13">
        <v>2017</v>
      </c>
      <c r="Q121" s="13">
        <v>2018</v>
      </c>
      <c r="R121" s="12">
        <v>2019</v>
      </c>
      <c r="S121" s="13">
        <v>2020</v>
      </c>
      <c r="T121" s="13">
        <v>2021</v>
      </c>
      <c r="U121" s="12">
        <v>2022</v>
      </c>
      <c r="V121" s="13">
        <v>2023</v>
      </c>
      <c r="W121" s="13">
        <v>2024</v>
      </c>
      <c r="X121" s="12">
        <v>2025</v>
      </c>
      <c r="Y121" s="13">
        <v>2026</v>
      </c>
      <c r="Z121" s="13">
        <v>2027</v>
      </c>
      <c r="AA121" s="12">
        <v>2028</v>
      </c>
      <c r="AB121" s="13">
        <v>2029</v>
      </c>
      <c r="AC121" s="13">
        <v>2030</v>
      </c>
    </row>
    <row r="122" spans="1:29" x14ac:dyDescent="0.3">
      <c r="A122" s="5" t="s">
        <v>62</v>
      </c>
      <c r="B122" s="16"/>
      <c r="C122" s="16"/>
      <c r="D122" s="16"/>
      <c r="E122" s="16"/>
      <c r="F122" s="16"/>
      <c r="G122" s="16"/>
      <c r="H122" s="16"/>
      <c r="I122" s="17">
        <v>12182313</v>
      </c>
      <c r="J122" s="17">
        <v>13210718</v>
      </c>
      <c r="K122" s="17">
        <v>13131988</v>
      </c>
      <c r="L122" s="17">
        <v>13178673</v>
      </c>
      <c r="M122" s="17">
        <v>13708965</v>
      </c>
      <c r="N122" s="17">
        <v>14059852</v>
      </c>
      <c r="O122" s="17">
        <v>14684504</v>
      </c>
      <c r="P122" s="17">
        <v>15269016</v>
      </c>
      <c r="Q122" s="17">
        <v>16538560</v>
      </c>
      <c r="R122" s="17">
        <v>18925625</v>
      </c>
      <c r="S122" s="17">
        <v>8795734</v>
      </c>
      <c r="T122" s="17">
        <v>8482543</v>
      </c>
      <c r="U122" s="17">
        <v>16254228</v>
      </c>
      <c r="V122" s="17">
        <v>18923672</v>
      </c>
      <c r="W122" s="17">
        <v>19618506</v>
      </c>
      <c r="X122" s="17">
        <v>20025743</v>
      </c>
    </row>
    <row r="123" spans="1:29" x14ac:dyDescent="0.3">
      <c r="A123" s="5" t="s">
        <v>63</v>
      </c>
      <c r="B123" s="16"/>
      <c r="C123" s="16"/>
      <c r="D123" s="16"/>
      <c r="E123" s="16"/>
      <c r="F123" s="16"/>
      <c r="G123" s="16"/>
      <c r="H123" s="16"/>
      <c r="I123" s="17">
        <v>10398765</v>
      </c>
      <c r="J123" s="17">
        <v>11431576</v>
      </c>
      <c r="K123" s="17">
        <v>12122252</v>
      </c>
      <c r="L123" s="17">
        <v>12632215</v>
      </c>
      <c r="M123" s="17">
        <v>13894582</v>
      </c>
      <c r="N123" s="17">
        <v>15020688</v>
      </c>
      <c r="O123" s="17">
        <v>15804760</v>
      </c>
      <c r="P123" s="17">
        <v>16920740</v>
      </c>
      <c r="Q123" s="17">
        <v>17334400</v>
      </c>
      <c r="R123" s="17">
        <v>17941426</v>
      </c>
      <c r="S123" s="17">
        <v>7107573</v>
      </c>
      <c r="T123" s="17">
        <v>8364616</v>
      </c>
      <c r="U123" s="17">
        <v>15150085</v>
      </c>
      <c r="V123" s="17">
        <v>16572886</v>
      </c>
      <c r="W123" s="17">
        <v>17974576</v>
      </c>
      <c r="X123" s="17">
        <v>19229451</v>
      </c>
    </row>
    <row r="124" spans="1:29" x14ac:dyDescent="0.3">
      <c r="A124" s="5" t="s">
        <v>64</v>
      </c>
      <c r="B124" s="16"/>
      <c r="C124" s="16"/>
      <c r="D124" s="16"/>
      <c r="E124" s="16"/>
      <c r="F124" s="16"/>
      <c r="G124" s="16"/>
      <c r="H124" s="16"/>
      <c r="I124" s="17">
        <v>12143322</v>
      </c>
      <c r="J124" s="17">
        <v>12470660</v>
      </c>
      <c r="K124" s="17">
        <v>13096334</v>
      </c>
      <c r="L124" s="17">
        <v>14238469</v>
      </c>
      <c r="M124" s="17">
        <v>14337987</v>
      </c>
      <c r="N124" s="17">
        <v>15006416</v>
      </c>
      <c r="O124" s="17">
        <v>16750839</v>
      </c>
      <c r="P124" s="17">
        <v>16669006</v>
      </c>
      <c r="Q124" s="17">
        <v>17964565</v>
      </c>
      <c r="R124" s="17">
        <v>17736435</v>
      </c>
      <c r="S124" s="17">
        <v>6881164</v>
      </c>
      <c r="T124" s="17">
        <v>6738603</v>
      </c>
      <c r="U124" s="17">
        <v>14442434</v>
      </c>
      <c r="V124" s="17">
        <v>16920661</v>
      </c>
      <c r="W124" s="17">
        <v>18395367</v>
      </c>
      <c r="X124" s="17">
        <v>19019572</v>
      </c>
    </row>
    <row r="125" spans="1:29" x14ac:dyDescent="0.3">
      <c r="A125" s="5" t="s">
        <v>65</v>
      </c>
      <c r="B125" s="16"/>
      <c r="C125" s="16"/>
      <c r="D125" s="16"/>
      <c r="E125" s="16"/>
      <c r="F125" s="16"/>
      <c r="G125" s="16"/>
      <c r="H125" s="16"/>
      <c r="I125" s="17">
        <v>7884543</v>
      </c>
      <c r="J125" s="17">
        <v>9141389</v>
      </c>
      <c r="K125" s="17">
        <v>8709380</v>
      </c>
      <c r="L125" s="17">
        <v>8662827</v>
      </c>
      <c r="M125" s="17">
        <v>9012276</v>
      </c>
      <c r="N125" s="17">
        <v>9330341</v>
      </c>
      <c r="O125" s="17">
        <v>9564652</v>
      </c>
      <c r="P125" s="17">
        <v>10357309</v>
      </c>
      <c r="Q125" s="17">
        <v>11858562</v>
      </c>
      <c r="R125" s="17">
        <v>11927663</v>
      </c>
      <c r="S125" s="17">
        <v>3952759</v>
      </c>
      <c r="T125" s="17">
        <v>3028981</v>
      </c>
      <c r="U125" s="17">
        <v>7829794</v>
      </c>
      <c r="V125" s="17">
        <v>8419234</v>
      </c>
      <c r="W125" s="17">
        <v>9339434</v>
      </c>
      <c r="X125" s="17">
        <v>9998578</v>
      </c>
    </row>
    <row r="126" spans="1:29" x14ac:dyDescent="0.3">
      <c r="A126" s="5" t="s">
        <v>66</v>
      </c>
      <c r="B126" s="16"/>
      <c r="C126" s="16"/>
      <c r="D126" s="16"/>
      <c r="E126" s="16"/>
      <c r="F126" s="16"/>
      <c r="G126" s="16"/>
      <c r="H126" s="16"/>
      <c r="I126" s="17">
        <v>64849790</v>
      </c>
      <c r="J126" s="17">
        <v>66480837</v>
      </c>
      <c r="K126" s="17">
        <v>70607465</v>
      </c>
      <c r="L126" s="17">
        <v>71548934</v>
      </c>
      <c r="M126" s="17">
        <v>72233239</v>
      </c>
      <c r="N126" s="17">
        <v>74335978</v>
      </c>
      <c r="O126" s="17">
        <v>77830478</v>
      </c>
      <c r="P126" s="17">
        <v>80661968</v>
      </c>
      <c r="Q126" s="17">
        <v>84819250</v>
      </c>
      <c r="R126" s="17">
        <v>87752999</v>
      </c>
      <c r="S126" s="17">
        <v>38900525</v>
      </c>
      <c r="T126" s="17">
        <v>45493997</v>
      </c>
      <c r="U126" s="17">
        <v>77796381</v>
      </c>
      <c r="V126" s="17">
        <v>85697973</v>
      </c>
      <c r="W126" s="17">
        <v>86862333</v>
      </c>
      <c r="X126" s="17">
        <v>88865138</v>
      </c>
    </row>
    <row r="127" spans="1:29" x14ac:dyDescent="0.3">
      <c r="A127" s="5" t="s">
        <v>67</v>
      </c>
      <c r="B127" s="16"/>
      <c r="C127" s="16"/>
      <c r="D127" s="16"/>
      <c r="E127" s="16"/>
      <c r="F127" s="16"/>
      <c r="G127" s="16"/>
      <c r="H127" s="16"/>
      <c r="I127" s="17">
        <v>97475362</v>
      </c>
      <c r="J127" s="17">
        <v>98623886</v>
      </c>
      <c r="K127" s="17">
        <v>97999932</v>
      </c>
      <c r="L127" s="17">
        <v>100989642</v>
      </c>
      <c r="M127" s="17">
        <v>105720327</v>
      </c>
      <c r="N127" s="17">
        <v>109483601</v>
      </c>
      <c r="O127" s="17">
        <v>115525914</v>
      </c>
      <c r="P127" s="17">
        <v>120253389</v>
      </c>
      <c r="Q127" s="17">
        <v>126221481</v>
      </c>
      <c r="R127" s="17">
        <v>128579723</v>
      </c>
      <c r="S127" s="17">
        <v>49404019</v>
      </c>
      <c r="T127" s="17">
        <v>48746903</v>
      </c>
      <c r="U127" s="17">
        <v>88341125</v>
      </c>
      <c r="V127" s="17">
        <v>98464319</v>
      </c>
      <c r="W127" s="17">
        <v>106103449</v>
      </c>
      <c r="X127" s="17">
        <v>113491756</v>
      </c>
    </row>
    <row r="128" spans="1:29" x14ac:dyDescent="0.3">
      <c r="A128" s="5" t="s">
        <v>68</v>
      </c>
      <c r="B128" s="16"/>
      <c r="C128" s="16"/>
      <c r="D128" s="16"/>
      <c r="E128" s="16"/>
      <c r="F128" s="16"/>
      <c r="G128" s="16"/>
      <c r="H128" s="16"/>
      <c r="I128" s="17">
        <v>16548223</v>
      </c>
      <c r="J128" s="17">
        <v>17344818</v>
      </c>
      <c r="K128" s="17">
        <v>16288800</v>
      </c>
      <c r="L128" s="17">
        <v>16093658</v>
      </c>
      <c r="M128" s="17">
        <v>19259679</v>
      </c>
      <c r="N128" s="17">
        <v>22199948</v>
      </c>
      <c r="O128" s="17">
        <v>24854528</v>
      </c>
      <c r="P128" s="17">
        <v>25828177</v>
      </c>
      <c r="Q128" s="17">
        <v>29619727</v>
      </c>
      <c r="R128" s="17">
        <v>30123587</v>
      </c>
      <c r="S128" s="17">
        <v>13936594</v>
      </c>
      <c r="T128" s="17">
        <v>21978486</v>
      </c>
      <c r="U128" s="17">
        <v>31638352</v>
      </c>
      <c r="V128" s="17">
        <v>34994227</v>
      </c>
      <c r="W128" s="17">
        <v>38072334</v>
      </c>
      <c r="X128" s="17">
        <v>40806114</v>
      </c>
    </row>
    <row r="129" spans="1:29" x14ac:dyDescent="0.3">
      <c r="A129" s="5" t="s">
        <v>69</v>
      </c>
      <c r="B129" s="16"/>
      <c r="C129" s="16"/>
      <c r="D129" s="16"/>
      <c r="E129" s="16"/>
      <c r="F129" s="16"/>
      <c r="G129" s="16"/>
      <c r="H129" s="16"/>
      <c r="I129" s="17">
        <v>13615998</v>
      </c>
      <c r="J129" s="17">
        <v>12868955</v>
      </c>
      <c r="K129" s="17">
        <v>12899368</v>
      </c>
      <c r="L129" s="17">
        <v>13200205</v>
      </c>
      <c r="M129" s="17">
        <v>13843635</v>
      </c>
      <c r="N129" s="17">
        <v>14872214</v>
      </c>
      <c r="O129" s="17">
        <v>16152634</v>
      </c>
      <c r="P129" s="17">
        <v>16652465</v>
      </c>
      <c r="Q129" s="17">
        <v>17843636</v>
      </c>
      <c r="R129" s="17">
        <v>18425433</v>
      </c>
      <c r="S129" s="17">
        <v>6979699</v>
      </c>
      <c r="T129" s="17">
        <v>6588287</v>
      </c>
      <c r="U129" s="17">
        <v>17848377</v>
      </c>
      <c r="V129" s="17">
        <v>20109368</v>
      </c>
      <c r="W129" s="17">
        <v>20506170</v>
      </c>
      <c r="X129" s="17">
        <v>21780519</v>
      </c>
    </row>
    <row r="130" spans="1:29" x14ac:dyDescent="0.3">
      <c r="A130" s="5" t="s">
        <v>70</v>
      </c>
      <c r="B130" s="16"/>
      <c r="C130" s="16"/>
      <c r="D130" s="16"/>
      <c r="E130" s="16"/>
      <c r="F130" s="16"/>
      <c r="G130" s="16"/>
      <c r="H130" s="16"/>
      <c r="I130" s="17">
        <v>86695642</v>
      </c>
      <c r="J130" s="17">
        <v>86705395</v>
      </c>
      <c r="K130" s="17">
        <v>83570494</v>
      </c>
      <c r="L130" s="17">
        <v>80733320</v>
      </c>
      <c r="M130" s="17">
        <v>83289325</v>
      </c>
      <c r="N130" s="17">
        <v>84762947</v>
      </c>
      <c r="O130" s="17">
        <v>87934183</v>
      </c>
      <c r="P130" s="17">
        <v>92793829</v>
      </c>
      <c r="Q130" s="17">
        <v>99663783</v>
      </c>
      <c r="R130" s="17">
        <v>103973363</v>
      </c>
      <c r="S130" s="17">
        <v>45693735</v>
      </c>
      <c r="T130" s="17">
        <v>56235093</v>
      </c>
      <c r="U130" s="17">
        <v>99360683</v>
      </c>
      <c r="V130" s="17">
        <v>109854289</v>
      </c>
      <c r="W130" s="17">
        <v>119245555</v>
      </c>
      <c r="X130" s="17">
        <v>122831624</v>
      </c>
    </row>
    <row r="131" spans="1:29" x14ac:dyDescent="0.3">
      <c r="A131" s="5" t="s">
        <v>71</v>
      </c>
      <c r="B131" s="16"/>
      <c r="C131" s="16"/>
      <c r="D131" s="16"/>
      <c r="E131" s="16"/>
      <c r="F131" s="16"/>
      <c r="G131" s="16"/>
      <c r="H131" s="16"/>
      <c r="I131" s="17">
        <v>415418</v>
      </c>
      <c r="J131" s="17">
        <v>408825</v>
      </c>
      <c r="K131" s="17">
        <v>445901</v>
      </c>
      <c r="L131" s="17">
        <v>601534</v>
      </c>
      <c r="M131" s="17">
        <v>714563</v>
      </c>
      <c r="N131" s="17">
        <v>887119</v>
      </c>
      <c r="O131" s="17">
        <v>1098724</v>
      </c>
      <c r="P131" s="17">
        <v>1468776</v>
      </c>
      <c r="Q131" s="17">
        <v>1610080</v>
      </c>
      <c r="R131" s="17">
        <v>1865587</v>
      </c>
      <c r="S131" s="17">
        <v>880496</v>
      </c>
      <c r="T131" s="17">
        <v>1045413</v>
      </c>
      <c r="U131" s="17">
        <v>1943683</v>
      </c>
      <c r="V131" s="17">
        <v>2191943</v>
      </c>
      <c r="W131" s="17">
        <v>2343359</v>
      </c>
      <c r="X131" s="17">
        <v>2480527</v>
      </c>
    </row>
    <row r="132" spans="1:29" x14ac:dyDescent="0.3">
      <c r="A132" s="5" t="s">
        <v>72</v>
      </c>
      <c r="B132" s="16"/>
      <c r="C132" s="16"/>
      <c r="D132" s="16"/>
      <c r="E132" s="16"/>
      <c r="F132" s="16"/>
      <c r="G132" s="16"/>
      <c r="H132" s="16"/>
      <c r="I132" s="17">
        <v>1928110</v>
      </c>
      <c r="J132" s="17">
        <v>1869509</v>
      </c>
      <c r="K132" s="17">
        <v>1982547</v>
      </c>
      <c r="L132" s="17">
        <v>2277698</v>
      </c>
      <c r="M132" s="17">
        <v>2478482</v>
      </c>
      <c r="N132" s="17">
        <v>2625090</v>
      </c>
      <c r="O132" s="17">
        <v>2823220</v>
      </c>
      <c r="P132" s="17">
        <v>3367977</v>
      </c>
      <c r="Q132" s="17">
        <v>3907314</v>
      </c>
      <c r="R132" s="17">
        <v>4250021</v>
      </c>
      <c r="S132" s="17">
        <v>1980940</v>
      </c>
      <c r="T132" s="17">
        <v>2025131</v>
      </c>
      <c r="U132" s="17">
        <v>3422562</v>
      </c>
      <c r="V132" s="17">
        <v>4372754</v>
      </c>
      <c r="W132" s="17">
        <v>4971093</v>
      </c>
      <c r="X132" s="17">
        <v>5671673</v>
      </c>
    </row>
    <row r="133" spans="1:29" x14ac:dyDescent="0.3">
      <c r="A133" s="5" t="s">
        <v>73</v>
      </c>
      <c r="B133" s="16"/>
      <c r="C133" s="16"/>
      <c r="D133" s="16"/>
      <c r="E133" s="16"/>
      <c r="F133" s="16"/>
      <c r="G133" s="16"/>
      <c r="H133" s="16"/>
      <c r="I133" s="17">
        <v>18862796</v>
      </c>
      <c r="J133" s="17">
        <v>20415923</v>
      </c>
      <c r="K133" s="17">
        <v>20983697</v>
      </c>
      <c r="L133" s="17">
        <v>21942416</v>
      </c>
      <c r="M133" s="17">
        <v>23312868</v>
      </c>
      <c r="N133" s="17">
        <v>24887636</v>
      </c>
      <c r="O133" s="17">
        <v>27486370</v>
      </c>
      <c r="P133" s="17">
        <v>30496063</v>
      </c>
      <c r="Q133" s="17">
        <v>31132897</v>
      </c>
      <c r="R133" s="17">
        <v>31801164</v>
      </c>
      <c r="S133" s="17">
        <v>15456349</v>
      </c>
      <c r="T133" s="17">
        <v>15992663</v>
      </c>
      <c r="U133" s="17">
        <v>27338942</v>
      </c>
      <c r="V133" s="17">
        <v>30222391</v>
      </c>
      <c r="W133" s="17">
        <v>32329513</v>
      </c>
      <c r="X133" s="17">
        <v>33906873</v>
      </c>
    </row>
    <row r="134" spans="1:29" x14ac:dyDescent="0.3">
      <c r="A134" s="5" t="s">
        <v>74</v>
      </c>
      <c r="B134" s="16"/>
      <c r="C134" s="16"/>
      <c r="D134" s="16"/>
      <c r="E134" s="16"/>
      <c r="F134" s="16"/>
      <c r="G134" s="16"/>
      <c r="H134" s="16"/>
      <c r="I134" s="17">
        <v>26918772</v>
      </c>
      <c r="J134" s="17">
        <v>27844354</v>
      </c>
      <c r="K134" s="17">
        <v>29685975</v>
      </c>
      <c r="L134" s="17">
        <v>31374348</v>
      </c>
      <c r="M134" s="17">
        <v>31760410</v>
      </c>
      <c r="N134" s="17">
        <v>30932464</v>
      </c>
      <c r="O134" s="17">
        <v>30402009</v>
      </c>
      <c r="P134" s="17">
        <v>30051776</v>
      </c>
      <c r="Q134" s="17">
        <v>31792965</v>
      </c>
      <c r="R134" s="17">
        <v>32007325</v>
      </c>
      <c r="S134" s="17">
        <v>17624444</v>
      </c>
      <c r="T134" s="17">
        <v>15915682</v>
      </c>
      <c r="U134" s="17">
        <v>26917183</v>
      </c>
      <c r="V134" s="17">
        <v>27876955</v>
      </c>
      <c r="W134" s="17">
        <v>28315874</v>
      </c>
      <c r="X134" s="17">
        <v>28546306</v>
      </c>
    </row>
    <row r="135" spans="1:29" x14ac:dyDescent="0.3">
      <c r="A135" s="5" t="s">
        <v>75</v>
      </c>
      <c r="B135" s="16"/>
      <c r="C135" s="16"/>
      <c r="D135" s="16"/>
      <c r="E135" s="16"/>
      <c r="F135" s="16"/>
      <c r="G135" s="16"/>
      <c r="H135" s="16"/>
      <c r="I135" s="17">
        <v>15193017</v>
      </c>
      <c r="J135" s="17">
        <v>15538745</v>
      </c>
      <c r="K135" s="17">
        <v>15518656</v>
      </c>
      <c r="L135" s="17">
        <v>16361835</v>
      </c>
      <c r="M135" s="17">
        <v>17850765</v>
      </c>
      <c r="N135" s="17">
        <v>19871757</v>
      </c>
      <c r="O135" s="17">
        <v>22432036</v>
      </c>
      <c r="P135" s="17">
        <v>25728222</v>
      </c>
      <c r="Q135" s="17">
        <v>27894160</v>
      </c>
      <c r="R135" s="17">
        <v>30619786</v>
      </c>
      <c r="S135" s="17">
        <v>13340558</v>
      </c>
      <c r="T135" s="17">
        <v>16540301</v>
      </c>
      <c r="U135" s="17">
        <v>30244569</v>
      </c>
      <c r="V135" s="17">
        <v>34705408</v>
      </c>
      <c r="W135" s="17">
        <v>35198547</v>
      </c>
      <c r="X135" s="17">
        <v>36896724</v>
      </c>
    </row>
    <row r="136" spans="1:29" x14ac:dyDescent="0.3">
      <c r="A136" s="5" t="s">
        <v>76</v>
      </c>
      <c r="B136" s="16"/>
      <c r="C136" s="16"/>
      <c r="D136" s="16"/>
      <c r="E136" s="16"/>
      <c r="F136" s="16"/>
      <c r="G136" s="16"/>
      <c r="H136" s="16"/>
      <c r="I136" s="17">
        <v>103311004</v>
      </c>
      <c r="J136" s="17">
        <v>106371332</v>
      </c>
      <c r="K136" s="17">
        <v>99134068</v>
      </c>
      <c r="L136" s="17">
        <v>94219180</v>
      </c>
      <c r="M136" s="17">
        <v>96103122</v>
      </c>
      <c r="N136" s="17">
        <v>100770988</v>
      </c>
      <c r="O136" s="17">
        <v>112287923</v>
      </c>
      <c r="P136" s="17">
        <v>122925319</v>
      </c>
      <c r="Q136" s="17">
        <v>129709032</v>
      </c>
      <c r="R136" s="17">
        <v>133276380</v>
      </c>
      <c r="S136" s="17">
        <v>55211690</v>
      </c>
      <c r="T136" s="17">
        <v>72656090</v>
      </c>
      <c r="U136" s="17">
        <v>124867552</v>
      </c>
      <c r="V136" s="17">
        <v>138667478</v>
      </c>
      <c r="W136" s="17">
        <v>152016677</v>
      </c>
      <c r="X136" s="17">
        <v>158614782</v>
      </c>
    </row>
    <row r="137" spans="1:29" x14ac:dyDescent="0.3">
      <c r="A137" s="5" t="s">
        <v>77</v>
      </c>
      <c r="B137" s="16"/>
      <c r="C137" s="16"/>
      <c r="D137" s="16"/>
      <c r="E137" s="16"/>
      <c r="F137" s="16"/>
      <c r="G137" s="16"/>
      <c r="H137" s="16"/>
      <c r="I137" s="17">
        <v>15621278</v>
      </c>
      <c r="J137" s="17">
        <v>18067593</v>
      </c>
      <c r="K137" s="17">
        <v>18418685</v>
      </c>
      <c r="L137" s="17">
        <v>19354917</v>
      </c>
      <c r="M137" s="17">
        <v>19501610</v>
      </c>
      <c r="N137" s="17">
        <v>20112000</v>
      </c>
      <c r="O137" s="17">
        <v>20664709</v>
      </c>
      <c r="P137" s="17">
        <v>21754328</v>
      </c>
      <c r="Q137" s="17">
        <v>22056161</v>
      </c>
      <c r="R137" s="17">
        <v>21909939</v>
      </c>
      <c r="S137" s="17">
        <v>8746905</v>
      </c>
      <c r="T137" s="17">
        <v>8034372</v>
      </c>
      <c r="U137" s="17">
        <v>15514402</v>
      </c>
      <c r="V137" s="17">
        <v>17954402</v>
      </c>
      <c r="W137" s="17">
        <v>17897779</v>
      </c>
      <c r="X137" s="17">
        <v>18461760</v>
      </c>
    </row>
    <row r="138" spans="1:29" x14ac:dyDescent="0.3">
      <c r="A138" s="5" t="s">
        <v>78</v>
      </c>
      <c r="B138" s="16"/>
      <c r="C138" s="16"/>
      <c r="D138" s="16"/>
      <c r="E138" s="16"/>
      <c r="F138" s="16"/>
      <c r="G138" s="16"/>
      <c r="H138" s="16"/>
      <c r="I138" s="17">
        <v>19199935</v>
      </c>
      <c r="J138" s="17">
        <v>20486469</v>
      </c>
      <c r="K138" s="17">
        <v>21181974</v>
      </c>
      <c r="L138" s="17">
        <v>21756327</v>
      </c>
      <c r="M138" s="17">
        <v>22601096</v>
      </c>
      <c r="N138" s="17">
        <v>23879222</v>
      </c>
      <c r="O138" s="17">
        <v>25138235</v>
      </c>
      <c r="P138" s="17">
        <v>27581555</v>
      </c>
      <c r="Q138" s="17">
        <v>28593218</v>
      </c>
      <c r="R138" s="17">
        <v>29506949</v>
      </c>
      <c r="S138" s="17">
        <v>11583649</v>
      </c>
      <c r="T138" s="17">
        <v>11753139</v>
      </c>
      <c r="U138" s="17">
        <v>23424714</v>
      </c>
      <c r="V138" s="17">
        <v>27066572</v>
      </c>
      <c r="W138" s="17">
        <v>29211188</v>
      </c>
      <c r="X138" s="17">
        <v>30536585</v>
      </c>
    </row>
    <row r="139" spans="1:29" x14ac:dyDescent="0.3">
      <c r="A139" s="5" t="s">
        <v>79</v>
      </c>
      <c r="B139" s="16"/>
      <c r="C139" s="16"/>
      <c r="D139" s="16"/>
      <c r="E139" s="16"/>
      <c r="F139" s="16"/>
      <c r="G139" s="16"/>
      <c r="H139" s="16"/>
      <c r="I139" s="17">
        <v>95683931</v>
      </c>
      <c r="J139" s="17">
        <v>94999503</v>
      </c>
      <c r="K139" s="17">
        <v>94519600</v>
      </c>
      <c r="L139" s="17">
        <v>100040392</v>
      </c>
      <c r="M139" s="17">
        <v>102963495</v>
      </c>
      <c r="N139" s="17">
        <v>107827843</v>
      </c>
      <c r="O139" s="17">
        <v>116367618</v>
      </c>
      <c r="P139" s="17">
        <v>122403413</v>
      </c>
      <c r="Q139" s="17">
        <v>124276764</v>
      </c>
      <c r="R139" s="17">
        <v>127150087</v>
      </c>
      <c r="S139" s="17">
        <v>52293077</v>
      </c>
      <c r="T139" s="17">
        <v>44417974</v>
      </c>
      <c r="U139" s="17">
        <v>109286824</v>
      </c>
      <c r="V139" s="17">
        <v>127266864</v>
      </c>
      <c r="W139" s="17">
        <v>136001990</v>
      </c>
      <c r="X139" s="17">
        <v>139623993</v>
      </c>
    </row>
    <row r="140" spans="1:29" x14ac:dyDescent="0.3">
      <c r="A140" s="5" t="s">
        <v>57</v>
      </c>
      <c r="I140" s="18">
        <f>SUM(I122:I139)</f>
        <v>618928219</v>
      </c>
      <c r="J140" s="18">
        <f t="shared" ref="J140:X140" si="27">SUM(J122:J139)</f>
        <v>634280487</v>
      </c>
      <c r="K140" s="18">
        <f t="shared" si="27"/>
        <v>630297116</v>
      </c>
      <c r="L140" s="18">
        <f t="shared" si="27"/>
        <v>639206590</v>
      </c>
      <c r="M140" s="18">
        <f t="shared" si="27"/>
        <v>662586426</v>
      </c>
      <c r="N140" s="18">
        <f t="shared" si="27"/>
        <v>690866104</v>
      </c>
      <c r="O140" s="18">
        <f t="shared" si="27"/>
        <v>737803336</v>
      </c>
      <c r="P140" s="18">
        <f t="shared" si="27"/>
        <v>781183328</v>
      </c>
      <c r="Q140" s="18">
        <f t="shared" si="27"/>
        <v>822836555</v>
      </c>
      <c r="R140" s="18">
        <f t="shared" si="27"/>
        <v>847773492</v>
      </c>
      <c r="S140" s="18">
        <f t="shared" si="27"/>
        <v>358769910</v>
      </c>
      <c r="T140" s="18">
        <f t="shared" si="27"/>
        <v>394038274</v>
      </c>
      <c r="U140" s="18">
        <f t="shared" si="27"/>
        <v>731621890</v>
      </c>
      <c r="V140" s="18">
        <f t="shared" si="27"/>
        <v>820281396</v>
      </c>
      <c r="W140" s="18">
        <f t="shared" si="27"/>
        <v>874403744</v>
      </c>
      <c r="X140" s="18">
        <f t="shared" si="27"/>
        <v>910787718</v>
      </c>
    </row>
    <row r="142" spans="1:29" x14ac:dyDescent="0.3">
      <c r="A142" s="3" t="s">
        <v>59</v>
      </c>
      <c r="I142" s="12">
        <v>2010</v>
      </c>
      <c r="J142" s="13">
        <v>2011</v>
      </c>
      <c r="K142" s="13">
        <v>2012</v>
      </c>
      <c r="L142" s="12">
        <v>2013</v>
      </c>
      <c r="M142" s="13">
        <v>2014</v>
      </c>
      <c r="N142" s="13">
        <v>2015</v>
      </c>
      <c r="O142" s="12">
        <v>2016</v>
      </c>
      <c r="P142" s="13">
        <v>2017</v>
      </c>
      <c r="Q142" s="13">
        <v>2018</v>
      </c>
      <c r="R142" s="12">
        <v>2019</v>
      </c>
      <c r="S142" s="13">
        <v>2020</v>
      </c>
      <c r="T142" s="13">
        <v>2021</v>
      </c>
      <c r="U142" s="12">
        <v>2022</v>
      </c>
      <c r="V142" s="13">
        <v>2023</v>
      </c>
      <c r="W142" s="13">
        <v>2024</v>
      </c>
      <c r="X142" s="12">
        <v>2025</v>
      </c>
      <c r="Y142" s="13">
        <v>2026</v>
      </c>
      <c r="Z142" s="13">
        <v>2027</v>
      </c>
      <c r="AA142" s="12">
        <v>2028</v>
      </c>
      <c r="AB142" s="13">
        <v>2029</v>
      </c>
      <c r="AC142" s="13">
        <v>2030</v>
      </c>
    </row>
    <row r="143" spans="1:29" x14ac:dyDescent="0.3">
      <c r="A143" s="3"/>
      <c r="I143" s="12"/>
      <c r="J143" s="13"/>
      <c r="K143" s="13"/>
      <c r="L143" s="12"/>
      <c r="M143" s="13"/>
      <c r="N143" s="13"/>
      <c r="O143" s="12"/>
      <c r="P143" s="13"/>
      <c r="Q143" s="13"/>
      <c r="R143" s="12"/>
      <c r="S143" s="13"/>
      <c r="T143" s="13"/>
      <c r="U143" s="12"/>
      <c r="V143" s="13"/>
      <c r="W143" s="13"/>
      <c r="X143" s="12"/>
      <c r="Y143" s="13"/>
      <c r="Z143" s="13"/>
      <c r="AA143" s="12"/>
      <c r="AB143" s="13"/>
      <c r="AC143" s="13"/>
    </row>
    <row r="144" spans="1:29" x14ac:dyDescent="0.3">
      <c r="A144" s="3" t="s">
        <v>57</v>
      </c>
      <c r="B144" s="11"/>
      <c r="C144" s="11"/>
      <c r="D144" s="11"/>
      <c r="E144" s="11"/>
      <c r="F144" s="11"/>
      <c r="G144" s="11"/>
      <c r="H144" s="11"/>
      <c r="I144" s="19">
        <f t="shared" ref="I144:X144" si="28">I140/I119</f>
        <v>1.5007627341265284</v>
      </c>
      <c r="J144" s="19">
        <f t="shared" si="28"/>
        <v>1.5328165740292647</v>
      </c>
      <c r="K144" s="19">
        <f t="shared" si="28"/>
        <v>1.5191322726886287</v>
      </c>
      <c r="L144" s="19">
        <f t="shared" si="28"/>
        <v>1.5373171225972273</v>
      </c>
      <c r="M144" s="19">
        <f t="shared" si="28"/>
        <v>1.5902366560384953</v>
      </c>
      <c r="N144" s="19">
        <f t="shared" si="28"/>
        <v>1.654434265770004</v>
      </c>
      <c r="O144" s="19">
        <f t="shared" si="28"/>
        <v>1.7624050822373118</v>
      </c>
      <c r="P144" s="19">
        <f t="shared" si="28"/>
        <v>1.8610403728354252</v>
      </c>
      <c r="Q144" s="19">
        <f t="shared" si="28"/>
        <v>1.9550712625793494</v>
      </c>
      <c r="R144" s="19">
        <f t="shared" si="28"/>
        <v>2.0087629300652625</v>
      </c>
      <c r="S144" s="19">
        <f t="shared" si="28"/>
        <v>0.84573181825293398</v>
      </c>
      <c r="T144" s="19">
        <f t="shared" si="28"/>
        <v>0.92745490738573466</v>
      </c>
      <c r="U144" s="19">
        <f t="shared" si="28"/>
        <v>1.7007620194772153</v>
      </c>
      <c r="V144" s="19">
        <f t="shared" si="28"/>
        <v>1.9028859136096554</v>
      </c>
      <c r="W144" s="19">
        <f t="shared" si="28"/>
        <v>2.0246486159688444</v>
      </c>
      <c r="X144" s="19">
        <f t="shared" si="28"/>
        <v>2.1052038692541668</v>
      </c>
      <c r="Y144" s="13"/>
      <c r="Z144" s="13"/>
      <c r="AA144" s="12"/>
      <c r="AB144" s="13"/>
      <c r="AC144" s="13"/>
    </row>
    <row r="145" spans="1:24" x14ac:dyDescent="0.3">
      <c r="A145" s="5" t="s">
        <v>62</v>
      </c>
      <c r="I145" s="14">
        <f>I122/I101</f>
        <v>1.4420520552975231</v>
      </c>
      <c r="J145" s="14">
        <f t="shared" ref="J145:X145" si="29">J122/J101</f>
        <v>1.5587698635011868</v>
      </c>
      <c r="K145" s="14">
        <f t="shared" si="29"/>
        <v>1.5425787118774676</v>
      </c>
      <c r="L145" s="14">
        <f t="shared" si="29"/>
        <v>1.5390910086779372</v>
      </c>
      <c r="M145" s="14">
        <f t="shared" si="29"/>
        <v>1.5911372650428954</v>
      </c>
      <c r="N145" s="14">
        <f t="shared" si="29"/>
        <v>1.6224996682264829</v>
      </c>
      <c r="O145" s="14">
        <f t="shared" si="29"/>
        <v>1.6855936279309487</v>
      </c>
      <c r="P145" s="14">
        <f t="shared" si="29"/>
        <v>1.7441507500274434</v>
      </c>
      <c r="Q145" s="14">
        <f t="shared" si="29"/>
        <v>1.8807988291178468</v>
      </c>
      <c r="R145" s="14">
        <f t="shared" si="29"/>
        <v>2.1437072348777635</v>
      </c>
      <c r="S145" s="14">
        <f t="shared" si="29"/>
        <v>0.99280824349234365</v>
      </c>
      <c r="T145" s="14">
        <f t="shared" si="29"/>
        <v>0.95440944492075597</v>
      </c>
      <c r="U145" s="14">
        <f t="shared" si="29"/>
        <v>1.8236359833987952</v>
      </c>
      <c r="V145" s="14">
        <f t="shared" si="29"/>
        <v>2.1165382301031443</v>
      </c>
      <c r="W145" s="14">
        <f t="shared" si="29"/>
        <v>2.187616567473039</v>
      </c>
      <c r="X145" s="14">
        <f t="shared" si="29"/>
        <v>2.2264993513094389</v>
      </c>
    </row>
    <row r="146" spans="1:24" x14ac:dyDescent="0.3">
      <c r="A146" s="5" t="s">
        <v>63</v>
      </c>
      <c r="I146" s="14">
        <f t="shared" ref="I146:X146" si="30">I123/I102</f>
        <v>0.95702476098689071</v>
      </c>
      <c r="J146" s="14">
        <f t="shared" si="30"/>
        <v>1.0427845789135883</v>
      </c>
      <c r="K146" s="14">
        <f t="shared" si="30"/>
        <v>1.0962295353112501</v>
      </c>
      <c r="L146" s="14">
        <f t="shared" si="30"/>
        <v>1.1331285926570713</v>
      </c>
      <c r="M146" s="14">
        <f t="shared" si="30"/>
        <v>1.2365326243962989</v>
      </c>
      <c r="N146" s="14">
        <f t="shared" si="30"/>
        <v>1.3264503544824771</v>
      </c>
      <c r="O146" s="14">
        <f t="shared" si="30"/>
        <v>1.3852794577510521</v>
      </c>
      <c r="P146" s="14">
        <f t="shared" si="30"/>
        <v>1.4724767664292764</v>
      </c>
      <c r="Q146" s="14">
        <f t="shared" si="30"/>
        <v>1.4981208670613051</v>
      </c>
      <c r="R146" s="14">
        <f t="shared" si="30"/>
        <v>1.5403997835369421</v>
      </c>
      <c r="S146" s="14">
        <f t="shared" si="30"/>
        <v>0.60641116122939931</v>
      </c>
      <c r="T146" s="14">
        <f t="shared" si="30"/>
        <v>0.70940906183829089</v>
      </c>
      <c r="U146" s="14">
        <f t="shared" si="30"/>
        <v>1.2787754514980496</v>
      </c>
      <c r="V146" s="14">
        <f t="shared" si="30"/>
        <v>1.3910858257930221</v>
      </c>
      <c r="W146" s="14">
        <f t="shared" si="30"/>
        <v>1.5006783476603143</v>
      </c>
      <c r="X146" s="14">
        <f t="shared" si="30"/>
        <v>1.5972270582473758</v>
      </c>
    </row>
    <row r="147" spans="1:24" x14ac:dyDescent="0.3">
      <c r="A147" s="5" t="s">
        <v>64</v>
      </c>
      <c r="I147" s="14">
        <f t="shared" ref="I147:X147" si="31">I124/I103</f>
        <v>2.1891771738856098</v>
      </c>
      <c r="J147" s="14">
        <f t="shared" si="31"/>
        <v>2.2387115756805134</v>
      </c>
      <c r="K147" s="14">
        <f t="shared" si="31"/>
        <v>2.3417790916074321</v>
      </c>
      <c r="L147" s="14">
        <f t="shared" si="31"/>
        <v>2.5348109333308648</v>
      </c>
      <c r="M147" s="14">
        <f t="shared" si="31"/>
        <v>2.5389519102097728</v>
      </c>
      <c r="N147" s="14">
        <f t="shared" si="31"/>
        <v>2.6381511865198184</v>
      </c>
      <c r="O147" s="14">
        <f t="shared" si="31"/>
        <v>2.9216438664859932</v>
      </c>
      <c r="P147" s="14">
        <f t="shared" si="31"/>
        <v>2.8872058840850214</v>
      </c>
      <c r="Q147" s="14">
        <f t="shared" si="31"/>
        <v>3.0923403980634752</v>
      </c>
      <c r="R147" s="14">
        <f t="shared" si="31"/>
        <v>3.036413470073589</v>
      </c>
      <c r="S147" s="14">
        <f t="shared" si="31"/>
        <v>1.1724739462596825</v>
      </c>
      <c r="T147" s="14">
        <f t="shared" si="31"/>
        <v>1.1431655319442746</v>
      </c>
      <c r="U147" s="14">
        <f t="shared" si="31"/>
        <v>2.4392843021858486</v>
      </c>
      <c r="V147" s="14">
        <f t="shared" si="31"/>
        <v>2.8452508027598529</v>
      </c>
      <c r="W147" s="14">
        <f t="shared" si="31"/>
        <v>3.0796832685544078</v>
      </c>
      <c r="X147" s="14">
        <f t="shared" si="31"/>
        <v>3.170442278315754</v>
      </c>
    </row>
    <row r="148" spans="1:24" x14ac:dyDescent="0.3">
      <c r="A148" s="5" t="s">
        <v>65</v>
      </c>
      <c r="I148" s="14">
        <f t="shared" ref="I148:X148" si="32">I125/I104</f>
        <v>1.4724613230061465</v>
      </c>
      <c r="J148" s="14">
        <f t="shared" si="32"/>
        <v>1.6992443229419449</v>
      </c>
      <c r="K148" s="14">
        <f t="shared" si="32"/>
        <v>1.6112407862748772</v>
      </c>
      <c r="L148" s="14">
        <f t="shared" si="32"/>
        <v>1.5952609693185578</v>
      </c>
      <c r="M148" s="14">
        <f t="shared" si="32"/>
        <v>1.6522749710558231</v>
      </c>
      <c r="N148" s="14">
        <f t="shared" si="32"/>
        <v>1.7034341840273373</v>
      </c>
      <c r="O148" s="14">
        <f t="shared" si="32"/>
        <v>1.7393369220926922</v>
      </c>
      <c r="P148" s="14">
        <f t="shared" si="32"/>
        <v>1.8765375843483643</v>
      </c>
      <c r="Q148" s="14">
        <f t="shared" si="32"/>
        <v>2.14115304058934</v>
      </c>
      <c r="R148" s="14">
        <f t="shared" si="32"/>
        <v>2.1467762978977447</v>
      </c>
      <c r="S148" s="14">
        <f t="shared" si="32"/>
        <v>0.70935161166149685</v>
      </c>
      <c r="T148" s="14">
        <f t="shared" si="32"/>
        <v>0.54210513505106628</v>
      </c>
      <c r="U148" s="14">
        <f t="shared" si="32"/>
        <v>1.3977913601367622</v>
      </c>
      <c r="V148" s="14">
        <f t="shared" si="32"/>
        <v>1.4995329117754499</v>
      </c>
      <c r="W148" s="14">
        <f t="shared" si="32"/>
        <v>1.6599265535739105</v>
      </c>
      <c r="X148" s="14">
        <f t="shared" si="32"/>
        <v>1.7737419409660853</v>
      </c>
    </row>
    <row r="149" spans="1:24" x14ac:dyDescent="0.3">
      <c r="A149" s="5" t="s">
        <v>66</v>
      </c>
      <c r="I149" s="14">
        <f t="shared" ref="I149:X149" si="33">I126/I105</f>
        <v>0.99869993026326076</v>
      </c>
      <c r="J149" s="14">
        <f t="shared" si="33"/>
        <v>1.0181638574116227</v>
      </c>
      <c r="K149" s="14">
        <f t="shared" si="33"/>
        <v>1.0756950731153081</v>
      </c>
      <c r="L149" s="14">
        <f t="shared" si="33"/>
        <v>1.0846232153816688</v>
      </c>
      <c r="M149" s="14">
        <f t="shared" si="33"/>
        <v>1.0898473600140788</v>
      </c>
      <c r="N149" s="14">
        <f t="shared" si="33"/>
        <v>1.1165749605707849</v>
      </c>
      <c r="O149" s="14">
        <f t="shared" si="33"/>
        <v>1.1641259247157223</v>
      </c>
      <c r="P149" s="14">
        <f t="shared" si="33"/>
        <v>1.201647357849599</v>
      </c>
      <c r="Q149" s="14">
        <f t="shared" si="33"/>
        <v>1.2587820002555281</v>
      </c>
      <c r="R149" s="14">
        <f t="shared" si="33"/>
        <v>1.2976230266138784</v>
      </c>
      <c r="S149" s="14">
        <f t="shared" si="33"/>
        <v>0.57325627851202299</v>
      </c>
      <c r="T149" s="14">
        <f t="shared" si="33"/>
        <v>0.66820180953245012</v>
      </c>
      <c r="U149" s="14">
        <f t="shared" si="33"/>
        <v>1.1389534065572919</v>
      </c>
      <c r="V149" s="14">
        <f t="shared" si="33"/>
        <v>1.2506641008328219</v>
      </c>
      <c r="W149" s="14">
        <f t="shared" si="33"/>
        <v>1.263721569374334</v>
      </c>
      <c r="X149" s="14">
        <f t="shared" si="33"/>
        <v>1.2889170018802945</v>
      </c>
    </row>
    <row r="150" spans="1:24" x14ac:dyDescent="0.3">
      <c r="A150" s="5" t="s">
        <v>67</v>
      </c>
      <c r="I150" s="14">
        <f t="shared" ref="I150:X150" si="34">I127/I106</f>
        <v>1.1939901806906188</v>
      </c>
      <c r="J150" s="14">
        <f t="shared" si="34"/>
        <v>1.2107171226343303</v>
      </c>
      <c r="K150" s="14">
        <f t="shared" si="34"/>
        <v>1.2056281269694118</v>
      </c>
      <c r="L150" s="14">
        <f t="shared" si="34"/>
        <v>1.2449668071983868</v>
      </c>
      <c r="M150" s="14">
        <f t="shared" si="34"/>
        <v>1.3058544502738476</v>
      </c>
      <c r="N150" s="14">
        <f t="shared" si="34"/>
        <v>1.3548825294968385</v>
      </c>
      <c r="O150" s="14">
        <f t="shared" si="34"/>
        <v>1.4321659129853743</v>
      </c>
      <c r="P150" s="14">
        <f t="shared" si="34"/>
        <v>1.4933270651376869</v>
      </c>
      <c r="Q150" s="14">
        <f t="shared" si="34"/>
        <v>1.570259707234223</v>
      </c>
      <c r="R150" s="14">
        <f t="shared" si="34"/>
        <v>1.6026278841350141</v>
      </c>
      <c r="S150" s="14">
        <f t="shared" si="34"/>
        <v>0.61701174050347563</v>
      </c>
      <c r="T150" s="14">
        <f t="shared" si="34"/>
        <v>0.61007233214282619</v>
      </c>
      <c r="U150" s="14">
        <f t="shared" si="34"/>
        <v>1.0477308376988821</v>
      </c>
      <c r="V150" s="14">
        <f t="shared" si="34"/>
        <v>1.1691297064846118</v>
      </c>
      <c r="W150" s="14">
        <f t="shared" si="34"/>
        <v>1.2613478865085337</v>
      </c>
      <c r="X150" s="14">
        <f t="shared" si="34"/>
        <v>1.3508947810536849</v>
      </c>
    </row>
    <row r="151" spans="1:24" x14ac:dyDescent="0.3">
      <c r="A151" s="5" t="s">
        <v>68</v>
      </c>
      <c r="I151" s="14">
        <f t="shared" ref="I151:X151" si="35">I128/I107</f>
        <v>1.4989544236313483</v>
      </c>
      <c r="J151" s="14">
        <f t="shared" si="35"/>
        <v>1.5742864990060426</v>
      </c>
      <c r="K151" s="14">
        <f t="shared" si="35"/>
        <v>1.487806214720228</v>
      </c>
      <c r="L151" s="14">
        <f t="shared" si="35"/>
        <v>1.4802513224727143</v>
      </c>
      <c r="M151" s="14">
        <f t="shared" si="35"/>
        <v>1.783117209321359</v>
      </c>
      <c r="N151" s="14">
        <f t="shared" si="35"/>
        <v>2.0693160996804951</v>
      </c>
      <c r="O151" s="14">
        <f t="shared" si="35"/>
        <v>2.321988957006841</v>
      </c>
      <c r="P151" s="14">
        <f t="shared" si="35"/>
        <v>2.4142991373529377</v>
      </c>
      <c r="Q151" s="14">
        <f t="shared" si="35"/>
        <v>2.7762795748672584</v>
      </c>
      <c r="R151" s="14">
        <f t="shared" si="35"/>
        <v>2.8316336467812895</v>
      </c>
      <c r="S151" s="14">
        <f t="shared" si="35"/>
        <v>1.3141728386121019</v>
      </c>
      <c r="T151" s="14">
        <f t="shared" si="35"/>
        <v>2.0793853904882664</v>
      </c>
      <c r="U151" s="14">
        <f t="shared" si="35"/>
        <v>3.0034877017195294</v>
      </c>
      <c r="V151" s="14">
        <f t="shared" si="35"/>
        <v>3.3335470648277057</v>
      </c>
      <c r="W151" s="14">
        <f t="shared" si="35"/>
        <v>3.6394228861980076</v>
      </c>
      <c r="X151" s="14">
        <f t="shared" si="35"/>
        <v>3.9144297645477937</v>
      </c>
    </row>
    <row r="152" spans="1:24" x14ac:dyDescent="0.3">
      <c r="A152" s="5" t="s">
        <v>69</v>
      </c>
      <c r="I152" s="14">
        <f t="shared" ref="I152:X152" si="36">I129/I108</f>
        <v>2.9453853315635636</v>
      </c>
      <c r="J152" s="14">
        <f t="shared" si="36"/>
        <v>2.7552041082636931</v>
      </c>
      <c r="K152" s="14">
        <f t="shared" si="36"/>
        <v>2.7319306758746418</v>
      </c>
      <c r="L152" s="14">
        <f t="shared" si="36"/>
        <v>2.7641589224303198</v>
      </c>
      <c r="M152" s="14">
        <f t="shared" si="36"/>
        <v>2.864975271242332</v>
      </c>
      <c r="N152" s="14">
        <f t="shared" si="36"/>
        <v>3.0405914756715293</v>
      </c>
      <c r="O152" s="14">
        <f t="shared" si="36"/>
        <v>3.2625170850255092</v>
      </c>
      <c r="P152" s="14">
        <f t="shared" si="36"/>
        <v>3.3244053489250485</v>
      </c>
      <c r="Q152" s="14">
        <f t="shared" si="36"/>
        <v>3.5224589965880169</v>
      </c>
      <c r="R152" s="14">
        <f t="shared" si="36"/>
        <v>3.5983954950904784</v>
      </c>
      <c r="S152" s="14">
        <f t="shared" si="36"/>
        <v>1.3491348058350856</v>
      </c>
      <c r="T152" s="14">
        <f t="shared" si="36"/>
        <v>1.2609441664159433</v>
      </c>
      <c r="U152" s="14">
        <f t="shared" si="36"/>
        <v>3.3835760124542085</v>
      </c>
      <c r="V152" s="14">
        <f t="shared" si="36"/>
        <v>3.8815471317823773</v>
      </c>
      <c r="W152" s="14">
        <f t="shared" si="36"/>
        <v>3.9182808470341137</v>
      </c>
      <c r="X152" s="14">
        <f t="shared" si="36"/>
        <v>4.1258742411214833</v>
      </c>
    </row>
    <row r="153" spans="1:24" x14ac:dyDescent="0.3">
      <c r="A153" s="5" t="s">
        <v>70</v>
      </c>
      <c r="I153" s="14">
        <f t="shared" ref="I153:X153" si="37">I130/I109</f>
        <v>1.4262321961863726</v>
      </c>
      <c r="J153" s="14">
        <f t="shared" si="37"/>
        <v>1.4192593724340441</v>
      </c>
      <c r="K153" s="14">
        <f t="shared" si="37"/>
        <v>1.3632327200018597</v>
      </c>
      <c r="L153" s="14">
        <f t="shared" si="37"/>
        <v>1.3141526482855204</v>
      </c>
      <c r="M153" s="14">
        <f t="shared" si="37"/>
        <v>1.3542064539508518</v>
      </c>
      <c r="N153" s="14">
        <f t="shared" si="37"/>
        <v>1.3779772299943349</v>
      </c>
      <c r="O153" s="14">
        <f t="shared" si="37"/>
        <v>1.4298422019062289</v>
      </c>
      <c r="P153" s="14">
        <f t="shared" si="37"/>
        <v>1.5088697604163612</v>
      </c>
      <c r="Q153" s="14">
        <f t="shared" si="37"/>
        <v>1.6208498199942696</v>
      </c>
      <c r="R153" s="14">
        <f t="shared" si="37"/>
        <v>1.692025363383526</v>
      </c>
      <c r="S153" s="14">
        <f t="shared" si="37"/>
        <v>0.74495272203022067</v>
      </c>
      <c r="T153" s="14">
        <f t="shared" si="37"/>
        <v>0.91892222195368967</v>
      </c>
      <c r="U153" s="14">
        <f t="shared" si="37"/>
        <v>1.6263161780798081</v>
      </c>
      <c r="V153" s="14">
        <f t="shared" si="37"/>
        <v>1.8002449941910157</v>
      </c>
      <c r="W153" s="14">
        <f t="shared" si="37"/>
        <v>1.9559696540950731</v>
      </c>
      <c r="X153" s="14">
        <f t="shared" si="37"/>
        <v>2.0161169372412582</v>
      </c>
    </row>
    <row r="154" spans="1:24" x14ac:dyDescent="0.3">
      <c r="A154" s="5" t="s">
        <v>71</v>
      </c>
      <c r="I154" s="14">
        <f t="shared" ref="I154:X154" si="38">I131/I110</f>
        <v>0.81573350979957071</v>
      </c>
      <c r="J154" s="14">
        <f t="shared" si="38"/>
        <v>0.78536218965874949</v>
      </c>
      <c r="K154" s="14">
        <f t="shared" si="38"/>
        <v>0.83649150847651577</v>
      </c>
      <c r="L154" s="14">
        <f t="shared" si="38"/>
        <v>1.1027730010962942</v>
      </c>
      <c r="M154" s="14">
        <f t="shared" si="38"/>
        <v>1.280604097930246</v>
      </c>
      <c r="N154" s="14">
        <f t="shared" si="38"/>
        <v>1.5556613567335142</v>
      </c>
      <c r="O154" s="14">
        <f t="shared" si="38"/>
        <v>1.8868984751610449</v>
      </c>
      <c r="P154" s="14">
        <f t="shared" si="38"/>
        <v>2.4721458266709306</v>
      </c>
      <c r="Q154" s="14">
        <f t="shared" si="38"/>
        <v>2.6579327923085558</v>
      </c>
      <c r="R154" s="14">
        <f t="shared" si="38"/>
        <v>3.0227354844981651</v>
      </c>
      <c r="S154" s="14">
        <f t="shared" si="38"/>
        <v>1.4006919974865379</v>
      </c>
      <c r="T154" s="14">
        <f t="shared" si="38"/>
        <v>1.6345074727676681</v>
      </c>
      <c r="U154" s="14">
        <f t="shared" si="38"/>
        <v>2.988607918027443</v>
      </c>
      <c r="V154" s="14">
        <f t="shared" si="38"/>
        <v>3.3164826818212081</v>
      </c>
      <c r="W154" s="14">
        <f t="shared" si="38"/>
        <v>3.4910168133076303</v>
      </c>
      <c r="X154" s="14">
        <f t="shared" si="38"/>
        <v>3.6406595825872543</v>
      </c>
    </row>
    <row r="155" spans="1:24" x14ac:dyDescent="0.3">
      <c r="A155" s="5" t="s">
        <v>72</v>
      </c>
      <c r="I155" s="14">
        <f t="shared" ref="I155:X155" si="39">I132/I111</f>
        <v>4.6218475308804736</v>
      </c>
      <c r="J155" s="14">
        <f t="shared" si="39"/>
        <v>4.4625489040013555</v>
      </c>
      <c r="K155" s="14">
        <f t="shared" si="39"/>
        <v>4.6966320083577928</v>
      </c>
      <c r="L155" s="14">
        <f t="shared" si="39"/>
        <v>5.3462194775595657</v>
      </c>
      <c r="M155" s="14">
        <f t="shared" si="39"/>
        <v>5.7635363278670226</v>
      </c>
      <c r="N155" s="14">
        <f t="shared" si="39"/>
        <v>6.0411196284781274</v>
      </c>
      <c r="O155" s="14">
        <f t="shared" si="39"/>
        <v>6.4225689183717112</v>
      </c>
      <c r="P155" s="14">
        <f t="shared" si="39"/>
        <v>7.5777171296275467</v>
      </c>
      <c r="Q155" s="14">
        <f t="shared" si="39"/>
        <v>8.7014056528981563</v>
      </c>
      <c r="R155" s="14">
        <f t="shared" si="39"/>
        <v>9.3753013868759663</v>
      </c>
      <c r="S155" s="14">
        <f t="shared" si="39"/>
        <v>4.3321013843024909</v>
      </c>
      <c r="T155" s="14">
        <f t="shared" si="39"/>
        <v>4.3939478097858276</v>
      </c>
      <c r="U155" s="14">
        <f t="shared" si="39"/>
        <v>7.3732555484223994</v>
      </c>
      <c r="V155" s="14">
        <f t="shared" si="39"/>
        <v>9.360732802726389</v>
      </c>
      <c r="W155" s="14">
        <f t="shared" si="39"/>
        <v>10.582873139888873</v>
      </c>
      <c r="X155" s="14">
        <f t="shared" si="39"/>
        <v>12.017631254423176</v>
      </c>
    </row>
    <row r="156" spans="1:24" x14ac:dyDescent="0.3">
      <c r="A156" s="5" t="s">
        <v>73</v>
      </c>
      <c r="I156" s="14">
        <f t="shared" ref="I156:X156" si="40">I133/I112</f>
        <v>1.1381200175411033</v>
      </c>
      <c r="J156" s="14">
        <f t="shared" si="40"/>
        <v>1.2259574285638108</v>
      </c>
      <c r="K156" s="14">
        <f t="shared" si="40"/>
        <v>1.2543103043760844</v>
      </c>
      <c r="L156" s="14">
        <f t="shared" si="40"/>
        <v>1.3058731038209543</v>
      </c>
      <c r="M156" s="14">
        <f t="shared" si="40"/>
        <v>1.3815624811658598</v>
      </c>
      <c r="N156" s="14">
        <f t="shared" si="40"/>
        <v>1.4688297007280633</v>
      </c>
      <c r="O156" s="14">
        <f t="shared" si="40"/>
        <v>1.6157029921022308</v>
      </c>
      <c r="P156" s="14">
        <f t="shared" si="40"/>
        <v>1.7855795427904682</v>
      </c>
      <c r="Q156" s="14">
        <f t="shared" si="40"/>
        <v>1.8158458607553718</v>
      </c>
      <c r="R156" s="14">
        <f t="shared" si="40"/>
        <v>1.8478181088378487</v>
      </c>
      <c r="S156" s="14">
        <f t="shared" si="40"/>
        <v>0.89477527528220013</v>
      </c>
      <c r="T156" s="14">
        <f t="shared" si="40"/>
        <v>0.92243705703789658</v>
      </c>
      <c r="U156" s="14">
        <f t="shared" si="40"/>
        <v>1.571129160320224</v>
      </c>
      <c r="V156" s="14">
        <f t="shared" si="40"/>
        <v>1.7079816904380598</v>
      </c>
      <c r="W156" s="14">
        <f t="shared" si="40"/>
        <v>1.8190876313794362</v>
      </c>
      <c r="X156" s="14">
        <f t="shared" si="40"/>
        <v>1.9012611665938184</v>
      </c>
    </row>
    <row r="157" spans="1:24" x14ac:dyDescent="0.3">
      <c r="A157" s="5" t="s">
        <v>74</v>
      </c>
      <c r="I157" s="14">
        <f t="shared" ref="I157:X157" si="41">I134/I113</f>
        <v>5.503397153436274</v>
      </c>
      <c r="J157" s="14">
        <f t="shared" si="41"/>
        <v>5.6190216924090892</v>
      </c>
      <c r="K157" s="14">
        <f t="shared" si="41"/>
        <v>5.9122370823804395</v>
      </c>
      <c r="L157" s="14">
        <f t="shared" si="41"/>
        <v>6.1693575456399383</v>
      </c>
      <c r="M157" s="14">
        <f t="shared" si="41"/>
        <v>6.1700327166812334</v>
      </c>
      <c r="N157" s="14">
        <f t="shared" si="41"/>
        <v>5.9404009960181554</v>
      </c>
      <c r="O157" s="14">
        <f t="shared" si="41"/>
        <v>5.7751548361066174</v>
      </c>
      <c r="P157" s="14">
        <f t="shared" si="41"/>
        <v>5.650051420889854</v>
      </c>
      <c r="Q157" s="14">
        <f t="shared" si="41"/>
        <v>5.9197093040251572</v>
      </c>
      <c r="R157" s="14">
        <f t="shared" si="41"/>
        <v>5.9058245781069525</v>
      </c>
      <c r="S157" s="14">
        <f t="shared" si="41"/>
        <v>3.2247385226334382</v>
      </c>
      <c r="T157" s="14">
        <f t="shared" si="41"/>
        <v>2.9417553699290626</v>
      </c>
      <c r="U157" s="14">
        <f t="shared" si="41"/>
        <v>4.9445322298941115</v>
      </c>
      <c r="V157" s="14">
        <f t="shared" si="41"/>
        <v>5.0897959623357778</v>
      </c>
      <c r="W157" s="14">
        <f t="shared" si="41"/>
        <v>5.1392461304386252</v>
      </c>
      <c r="X157" s="14">
        <f t="shared" si="41"/>
        <v>5.1510677984482722</v>
      </c>
    </row>
    <row r="158" spans="1:24" x14ac:dyDescent="0.3">
      <c r="A158" s="5" t="s">
        <v>75</v>
      </c>
      <c r="I158" s="14">
        <f t="shared" ref="I158:X158" si="42">I135/I114</f>
        <v>1.426570883488923</v>
      </c>
      <c r="J158" s="14">
        <f t="shared" si="42"/>
        <v>1.4611655890091915</v>
      </c>
      <c r="K158" s="14">
        <f t="shared" si="42"/>
        <v>1.4651625546037468</v>
      </c>
      <c r="L158" s="14">
        <f t="shared" si="42"/>
        <v>1.5532105276497898</v>
      </c>
      <c r="M158" s="14">
        <f t="shared" si="42"/>
        <v>1.7037636960982334</v>
      </c>
      <c r="N158" s="14">
        <f t="shared" si="42"/>
        <v>1.9046024237589023</v>
      </c>
      <c r="O158" s="14">
        <f t="shared" si="42"/>
        <v>2.1567423858424397</v>
      </c>
      <c r="P158" s="14">
        <f t="shared" si="42"/>
        <v>2.480887696540528</v>
      </c>
      <c r="Q158" s="14">
        <f t="shared" si="42"/>
        <v>2.6971369650198986</v>
      </c>
      <c r="R158" s="14">
        <f t="shared" si="42"/>
        <v>2.9685782233584725</v>
      </c>
      <c r="S158" s="14">
        <f t="shared" si="42"/>
        <v>1.2966748679055582</v>
      </c>
      <c r="T158" s="14">
        <f t="shared" si="42"/>
        <v>1.6115103981449457</v>
      </c>
      <c r="U158" s="14">
        <f t="shared" si="42"/>
        <v>2.9529710807793847</v>
      </c>
      <c r="V158" s="14">
        <f t="shared" si="42"/>
        <v>3.3947861471268639</v>
      </c>
      <c r="W158" s="14">
        <f t="shared" si="42"/>
        <v>3.4484115441517278</v>
      </c>
      <c r="X158" s="14">
        <f t="shared" si="42"/>
        <v>3.6193566252908371</v>
      </c>
    </row>
    <row r="159" spans="1:24" x14ac:dyDescent="0.3">
      <c r="A159" s="5" t="s">
        <v>76</v>
      </c>
      <c r="I159" s="14">
        <f t="shared" ref="I159:X159" si="43">I136/I115</f>
        <v>2.2259309842703554</v>
      </c>
      <c r="J159" s="14">
        <f t="shared" si="43"/>
        <v>2.2892004035243558</v>
      </c>
      <c r="K159" s="14">
        <f t="shared" si="43"/>
        <v>2.134469689588756</v>
      </c>
      <c r="L159" s="14">
        <f t="shared" si="43"/>
        <v>2.0353754881368462</v>
      </c>
      <c r="M159" s="14">
        <f t="shared" si="43"/>
        <v>2.0823587968794754</v>
      </c>
      <c r="N159" s="14">
        <f t="shared" si="43"/>
        <v>2.1850939672265572</v>
      </c>
      <c r="O159" s="14">
        <f t="shared" si="43"/>
        <v>2.4326260288347235</v>
      </c>
      <c r="P159" s="14">
        <f t="shared" si="43"/>
        <v>2.6567647387275066</v>
      </c>
      <c r="Q159" s="14">
        <f t="shared" si="43"/>
        <v>2.7909797083222618</v>
      </c>
      <c r="R159" s="14">
        <f t="shared" si="43"/>
        <v>2.847052659707106</v>
      </c>
      <c r="S159" s="14">
        <f t="shared" si="43"/>
        <v>1.1736832929692316</v>
      </c>
      <c r="T159" s="14">
        <f t="shared" si="43"/>
        <v>1.5424899339472644</v>
      </c>
      <c r="U159" s="14">
        <f t="shared" si="43"/>
        <v>2.6475509472193046</v>
      </c>
      <c r="V159" s="14">
        <f t="shared" si="43"/>
        <v>2.9364634693128906</v>
      </c>
      <c r="W159" s="14">
        <f t="shared" si="43"/>
        <v>3.2152132997597547</v>
      </c>
      <c r="X159" s="14">
        <f t="shared" si="43"/>
        <v>3.3507960293091701</v>
      </c>
    </row>
    <row r="160" spans="1:24" x14ac:dyDescent="0.3">
      <c r="A160" s="5" t="s">
        <v>77</v>
      </c>
      <c r="I160" s="14">
        <f t="shared" ref="I160:X160" si="44">I137/I116</f>
        <v>1.6561458764917345</v>
      </c>
      <c r="J160" s="14">
        <f t="shared" si="44"/>
        <v>1.9011676744969364</v>
      </c>
      <c r="K160" s="14">
        <f t="shared" si="44"/>
        <v>1.9239730896126761</v>
      </c>
      <c r="L160" s="14">
        <f t="shared" si="44"/>
        <v>2.0061800561318215</v>
      </c>
      <c r="M160" s="14">
        <f t="shared" si="44"/>
        <v>2.0029232048151639</v>
      </c>
      <c r="N160" s="14">
        <f t="shared" si="44"/>
        <v>2.0442053304239591</v>
      </c>
      <c r="O160" s="14">
        <f t="shared" si="44"/>
        <v>2.0744660997952207</v>
      </c>
      <c r="P160" s="14">
        <f t="shared" si="44"/>
        <v>2.1551019987640596</v>
      </c>
      <c r="Q160" s="14">
        <f t="shared" si="44"/>
        <v>2.1602375029419507</v>
      </c>
      <c r="R160" s="14">
        <f t="shared" si="44"/>
        <v>2.1247948539284329</v>
      </c>
      <c r="S160" s="14">
        <f t="shared" si="44"/>
        <v>0.84245172584568262</v>
      </c>
      <c r="T160" s="14">
        <f t="shared" si="44"/>
        <v>0.77014867859092517</v>
      </c>
      <c r="U160" s="14">
        <f t="shared" si="44"/>
        <v>1.4798668822023482</v>
      </c>
      <c r="V160" s="14">
        <f t="shared" si="44"/>
        <v>1.7040457510000153</v>
      </c>
      <c r="W160" s="14">
        <f t="shared" si="44"/>
        <v>1.6900904499456317</v>
      </c>
      <c r="X160" s="14">
        <f t="shared" si="44"/>
        <v>1.7345173150991497</v>
      </c>
    </row>
    <row r="161" spans="1:29" x14ac:dyDescent="0.3">
      <c r="A161" s="5" t="s">
        <v>78</v>
      </c>
      <c r="I161" s="14">
        <f t="shared" ref="I161:X161" si="45">I138/I117</f>
        <v>2.4188903630451768</v>
      </c>
      <c r="J161" s="14">
        <f t="shared" si="45"/>
        <v>2.5519253727773621</v>
      </c>
      <c r="K161" s="14">
        <f t="shared" si="45"/>
        <v>2.6223291689476822</v>
      </c>
      <c r="L161" s="14">
        <f t="shared" si="45"/>
        <v>2.6725179221596016</v>
      </c>
      <c r="M161" s="14">
        <f t="shared" si="45"/>
        <v>2.7519660078057071</v>
      </c>
      <c r="N161" s="14">
        <f t="shared" si="45"/>
        <v>2.8832177855417371</v>
      </c>
      <c r="O161" s="14">
        <f t="shared" si="45"/>
        <v>3.0090290376128705</v>
      </c>
      <c r="P161" s="14">
        <f t="shared" si="45"/>
        <v>3.276241685580016</v>
      </c>
      <c r="Q161" s="14">
        <f t="shared" si="45"/>
        <v>3.3754687820214362</v>
      </c>
      <c r="R161" s="14">
        <f t="shared" si="45"/>
        <v>3.4610973950994897</v>
      </c>
      <c r="S161" s="14">
        <f t="shared" si="45"/>
        <v>1.3491796473623927</v>
      </c>
      <c r="T161" s="14">
        <f t="shared" si="45"/>
        <v>1.3582142969402924</v>
      </c>
      <c r="U161" s="14">
        <f t="shared" si="45"/>
        <v>2.6849933117919926</v>
      </c>
      <c r="V161" s="14">
        <f t="shared" si="45"/>
        <v>3.0780539595360339</v>
      </c>
      <c r="W161" s="14">
        <f t="shared" si="45"/>
        <v>3.296760232463495</v>
      </c>
      <c r="X161" s="14">
        <f t="shared" si="45"/>
        <v>3.4211820620831368</v>
      </c>
    </row>
    <row r="162" spans="1:29" x14ac:dyDescent="0.3">
      <c r="A162" s="5" t="s">
        <v>79</v>
      </c>
      <c r="I162" s="14">
        <f t="shared" ref="I162:X162" si="46">I139/I118</f>
        <v>1.5346642234729599</v>
      </c>
      <c r="J162" s="14">
        <f t="shared" si="46"/>
        <v>1.5151831717708988</v>
      </c>
      <c r="K162" s="14">
        <f t="shared" si="46"/>
        <v>1.4991888136059162</v>
      </c>
      <c r="L162" s="14">
        <f t="shared" si="46"/>
        <v>1.5780343277592217</v>
      </c>
      <c r="M162" s="14">
        <f t="shared" si="46"/>
        <v>1.615291595182321</v>
      </c>
      <c r="N162" s="14">
        <f t="shared" si="46"/>
        <v>1.6824907859044678</v>
      </c>
      <c r="O162" s="14">
        <f t="shared" si="46"/>
        <v>1.8060972371625406</v>
      </c>
      <c r="P162" s="14">
        <f t="shared" si="46"/>
        <v>1.8898324629950551</v>
      </c>
      <c r="Q162" s="14">
        <f t="shared" si="46"/>
        <v>1.9088594488990949</v>
      </c>
      <c r="R162" s="14">
        <f t="shared" si="46"/>
        <v>1.9431061803265486</v>
      </c>
      <c r="S162" s="14">
        <f t="shared" si="46"/>
        <v>0.78022753581595417</v>
      </c>
      <c r="T162" s="14">
        <f t="shared" si="46"/>
        <v>0.65883345886893252</v>
      </c>
      <c r="U162" s="14">
        <f t="shared" si="46"/>
        <v>1.6121045442342243</v>
      </c>
      <c r="V162" s="14">
        <f t="shared" si="46"/>
        <v>1.8677677654231344</v>
      </c>
      <c r="W162" s="14">
        <f t="shared" si="46"/>
        <v>1.9866179864738127</v>
      </c>
      <c r="X162" s="14">
        <f t="shared" si="46"/>
        <v>2.0308557170640715</v>
      </c>
    </row>
    <row r="164" spans="1:29" x14ac:dyDescent="0.3">
      <c r="A164" s="3" t="s">
        <v>126</v>
      </c>
      <c r="B164" s="11"/>
      <c r="C164" s="11"/>
      <c r="D164" s="11"/>
      <c r="E164" s="11"/>
      <c r="F164" s="11"/>
      <c r="G164" s="11"/>
      <c r="H164" s="11"/>
      <c r="I164" s="12">
        <v>2010</v>
      </c>
      <c r="J164" s="13">
        <v>2011</v>
      </c>
      <c r="K164" s="13">
        <v>2012</v>
      </c>
      <c r="L164" s="12">
        <v>2013</v>
      </c>
      <c r="M164" s="13">
        <v>2014</v>
      </c>
      <c r="N164" s="13">
        <v>2015</v>
      </c>
      <c r="O164" s="12">
        <v>2016</v>
      </c>
      <c r="P164" s="13">
        <v>2017</v>
      </c>
      <c r="Q164" s="13">
        <v>2018</v>
      </c>
      <c r="R164" s="12">
        <v>2019</v>
      </c>
      <c r="S164" s="13">
        <v>2020</v>
      </c>
      <c r="T164" s="13">
        <v>2021</v>
      </c>
      <c r="U164" s="12">
        <v>2022</v>
      </c>
      <c r="V164" s="13">
        <v>2023</v>
      </c>
      <c r="W164" s="13">
        <v>2024</v>
      </c>
      <c r="X164" s="12">
        <v>2025</v>
      </c>
      <c r="Y164" s="13">
        <v>2026</v>
      </c>
      <c r="Z164" s="13">
        <v>2027</v>
      </c>
      <c r="AA164" s="12">
        <v>2028</v>
      </c>
      <c r="AB164" s="13">
        <v>2029</v>
      </c>
      <c r="AC164" s="13">
        <v>2030</v>
      </c>
    </row>
    <row r="166" spans="1:29" x14ac:dyDescent="0.3">
      <c r="A166" s="5" t="s">
        <v>62</v>
      </c>
      <c r="X166" s="17">
        <f>'GDP WE Oct 2025'!Q2*10^9/X101</f>
        <v>62979.631594460167</v>
      </c>
    </row>
    <row r="167" spans="1:29" x14ac:dyDescent="0.3">
      <c r="A167" s="5" t="s">
        <v>63</v>
      </c>
      <c r="X167" s="17">
        <f>'GDP WE Oct 2025'!Q3*10^9/X102</f>
        <v>59553.434792402732</v>
      </c>
    </row>
    <row r="168" spans="1:29" x14ac:dyDescent="0.3">
      <c r="A168" s="5" t="s">
        <v>64</v>
      </c>
      <c r="X168" s="17">
        <f>'GDP WE Oct 2025'!Q4*10^9/X103</f>
        <v>76614.411534668616</v>
      </c>
    </row>
    <row r="169" spans="1:29" x14ac:dyDescent="0.3">
      <c r="A169" s="5" t="s">
        <v>65</v>
      </c>
      <c r="X169" s="17">
        <f>'GDP WE Oct 2025'!Q5*10^9/X104</f>
        <v>55831.855152663731</v>
      </c>
    </row>
    <row r="170" spans="1:29" x14ac:dyDescent="0.3">
      <c r="A170" s="5" t="s">
        <v>66</v>
      </c>
      <c r="X170" s="17">
        <f>'GDP WE Oct 2025'!Q6*10^9/X105</f>
        <v>48756.667323126385</v>
      </c>
    </row>
    <row r="171" spans="1:29" x14ac:dyDescent="0.3">
      <c r="A171" s="5" t="s">
        <v>67</v>
      </c>
      <c r="X171" s="17">
        <f>'GDP WE Oct 2025'!Q7*10^9/X106</f>
        <v>59676.677758219259</v>
      </c>
    </row>
    <row r="172" spans="1:29" x14ac:dyDescent="0.3">
      <c r="A172" s="5" t="s">
        <v>68</v>
      </c>
      <c r="X172" s="17">
        <f>'GDP WE Oct 2025'!Q8*10^9/X107</f>
        <v>27053.386356956318</v>
      </c>
    </row>
    <row r="173" spans="1:29" x14ac:dyDescent="0.3">
      <c r="A173" s="5" t="s">
        <v>69</v>
      </c>
      <c r="X173" s="17">
        <f>'GDP WE Oct 2025'!Q9*10^9/X108</f>
        <v>134262.1822626869</v>
      </c>
    </row>
    <row r="174" spans="1:29" x14ac:dyDescent="0.3">
      <c r="A174" s="5" t="s">
        <v>70</v>
      </c>
      <c r="X174" s="17">
        <f>'GDP WE Oct 2025'!Q10*10^9/X109</f>
        <v>41751.058201192813</v>
      </c>
    </row>
    <row r="175" spans="1:29" x14ac:dyDescent="0.3">
      <c r="A175" s="5" t="s">
        <v>71</v>
      </c>
      <c r="X175" s="17">
        <f>'GDP WE Oct 2025'!Q11*10^9/X110</f>
        <v>147711.8619191593</v>
      </c>
    </row>
    <row r="176" spans="1:29" x14ac:dyDescent="0.3">
      <c r="A176" s="5" t="s">
        <v>72</v>
      </c>
      <c r="X176" s="17">
        <f>'GDP WE Oct 2025'!Q12*10^9/X111</f>
        <v>58788.505464608243</v>
      </c>
    </row>
    <row r="177" spans="1:24" x14ac:dyDescent="0.3">
      <c r="A177" s="5" t="s">
        <v>73</v>
      </c>
      <c r="X177" s="17">
        <f>'GDP WE Oct 2025'!Q13*10^9/X112</f>
        <v>74052.008297687236</v>
      </c>
    </row>
    <row r="178" spans="1:24" x14ac:dyDescent="0.3">
      <c r="A178" s="5" t="s">
        <v>74</v>
      </c>
      <c r="X178" s="17">
        <f>'GDP WE Oct 2025'!Q14*10^9/X113</f>
        <v>93309.006801552488</v>
      </c>
    </row>
    <row r="179" spans="1:24" x14ac:dyDescent="0.3">
      <c r="A179" s="5" t="s">
        <v>75</v>
      </c>
      <c r="X179" s="17">
        <f>'GDP WE Oct 2025'!Q15*10^9/X114</f>
        <v>33149.579906451436</v>
      </c>
    </row>
    <row r="180" spans="1:24" x14ac:dyDescent="0.3">
      <c r="A180" s="5" t="s">
        <v>76</v>
      </c>
      <c r="X180" s="17">
        <f>'GDP WE Oct 2025'!Q16*10^9/X115</f>
        <v>39955.913041891101</v>
      </c>
    </row>
    <row r="181" spans="1:24" x14ac:dyDescent="0.3">
      <c r="A181" s="5" t="s">
        <v>77</v>
      </c>
      <c r="X181" s="17">
        <f>'GDP WE Oct 2025'!Q17*10^9/X116</f>
        <v>62226.030405651392</v>
      </c>
    </row>
    <row r="182" spans="1:24" x14ac:dyDescent="0.3">
      <c r="A182" s="5" t="s">
        <v>78</v>
      </c>
      <c r="X182" s="17">
        <f>'GDP WE Oct 2025'!Q18*10^9/X117</f>
        <v>112334.20284097421</v>
      </c>
    </row>
    <row r="183" spans="1:24" x14ac:dyDescent="0.3">
      <c r="A183" s="5" t="s">
        <v>79</v>
      </c>
      <c r="X183" s="17">
        <f>'GDP WE Oct 2025'!Q19*10^9/X118</f>
        <v>57581.156525146114</v>
      </c>
    </row>
    <row r="184" spans="1:24" x14ac:dyDescent="0.3">
      <c r="A184" s="5" t="s">
        <v>57</v>
      </c>
      <c r="X184" s="27">
        <f>'GDP WE Oct 2025'!Q20*10^9/X119</f>
        <v>54980.504989929766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 GDP CEE Oct 2025</vt:lpstr>
      <vt:lpstr>GDP WE Oct 2025</vt:lpstr>
      <vt:lpstr>Population</vt:lpstr>
    </vt:vector>
  </TitlesOfParts>
  <Company>Wizz Air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Malin, Ian</dc:creator>
  <cp:lastModifiedBy>Diego Marrero Ferrera</cp:lastModifiedBy>
  <dcterms:created xsi:type="dcterms:W3CDTF">2025-10-17T17:43:33Z</dcterms:created>
  <dcterms:modified xsi:type="dcterms:W3CDTF">2026-01-05T14:54:22Z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22c26f1-c66d-4d7d-9332-f674bfd52086_Enabled">
    <vt:lpwstr>true</vt:lpwstr>
  </property>
  <property fmtid="{D5CDD505-2E9C-101B-9397-08002B2CF9AE}" pid="3" name="MSIP_Label_822c26f1-c66d-4d7d-9332-f674bfd52086_SetDate">
    <vt:lpwstr>2025-10-17T17:59:29Z</vt:lpwstr>
  </property>
  <property fmtid="{D5CDD505-2E9C-101B-9397-08002B2CF9AE}" pid="4" name="MSIP_Label_822c26f1-c66d-4d7d-9332-f674bfd52086_Method">
    <vt:lpwstr>Standard</vt:lpwstr>
  </property>
  <property fmtid="{D5CDD505-2E9C-101B-9397-08002B2CF9AE}" pid="5" name="MSIP_Label_822c26f1-c66d-4d7d-9332-f674bfd52086_Name">
    <vt:lpwstr>822c26f1-c66d-4d7d-9332-f674bfd52086</vt:lpwstr>
  </property>
  <property fmtid="{D5CDD505-2E9C-101B-9397-08002B2CF9AE}" pid="6" name="MSIP_Label_822c26f1-c66d-4d7d-9332-f674bfd52086_SiteId">
    <vt:lpwstr>c2639ec5-cc6a-45e9-9c33-2a332c564613</vt:lpwstr>
  </property>
  <property fmtid="{D5CDD505-2E9C-101B-9397-08002B2CF9AE}" pid="7" name="MSIP_Label_822c26f1-c66d-4d7d-9332-f674bfd52086_ActionId">
    <vt:lpwstr>2747a702-c33f-48c5-ba0a-0da51462d54e</vt:lpwstr>
  </property>
  <property fmtid="{D5CDD505-2E9C-101B-9397-08002B2CF9AE}" pid="8" name="MSIP_Label_822c26f1-c66d-4d7d-9332-f674bfd52086_ContentBits">
    <vt:lpwstr>2</vt:lpwstr>
  </property>
  <property fmtid="{D5CDD505-2E9C-101B-9397-08002B2CF9AE}" pid="9" name="MSIP_Label_822c26f1-c66d-4d7d-9332-f674bfd52086_Tag">
    <vt:lpwstr>10, 3, 0, 1</vt:lpwstr>
  </property>
</Properties>
</file>